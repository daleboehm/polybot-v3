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unding Model" sheetId="1" state="visible" r:id="rId3"/>
    <sheet name="US Topics (25)" sheetId="2" state="visible" r:id="rId4"/>
    <sheet name="International Topics (25)" sheetId="3" state="visible" r:id="rId5"/>
    <sheet name="Trade Journal" sheetId="4" state="visible" r:id="rId6"/>
    <sheet name="Scaling Road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<sst xmlns="http://schemas.openxmlformats.org/spreadsheetml/2006/main" count="559" uniqueCount="408">
  <si>
    <t xml:space="preserve">POLYMARKET SIMULATION: $100 → $100K/MONTH</t>
  </si>
  <si>
    <t xml:space="preserve">Compounding Growth Model with Scenario Analysis</t>
  </si>
  <si>
    <t xml:space="preserve">ASSUMPTIONS (EDIT BLUE CELLS)</t>
  </si>
  <si>
    <t xml:space="preserve">Parameter</t>
  </si>
  <si>
    <t xml:space="preserve">Conservative</t>
  </si>
  <si>
    <t xml:space="preserve">Moderate</t>
  </si>
  <si>
    <t xml:space="preserve">Aggressive</t>
  </si>
  <si>
    <t xml:space="preserve">Starting Capital</t>
  </si>
  <si>
    <t xml:space="preserve">Monthly Return %</t>
  </si>
  <si>
    <t xml:space="preserve">Monthly Capital Addition</t>
  </si>
  <si>
    <t xml:space="preserve">Trades per Month</t>
  </si>
  <si>
    <t xml:space="preserve">Avg Edge per Trade %</t>
  </si>
  <si>
    <t xml:space="preserve">Win Rate %</t>
  </si>
  <si>
    <t xml:space="preserve">Max Risk per Trade %</t>
  </si>
  <si>
    <t xml:space="preserve">Target Monthly Income</t>
  </si>
  <si>
    <t xml:space="preserve">MONTH-BY-MONTH PROJECTION</t>
  </si>
  <si>
    <t xml:space="preserve">CONSERVATIVE SCENARIO</t>
  </si>
  <si>
    <t xml:space="preserve">MODERATE SCENARIO</t>
  </si>
  <si>
    <t xml:space="preserve">AGGRESSIVE SCENARIO</t>
  </si>
  <si>
    <t xml:space="preserve">Month</t>
  </si>
  <si>
    <t xml:space="preserve">Starting Balance</t>
  </si>
  <si>
    <t xml:space="preserve">Trading P&amp;L</t>
  </si>
  <si>
    <t xml:space="preserve">Ending Balance</t>
  </si>
  <si>
    <t xml:space="preserve">MONTHS TO $100K/MONTH INCOME</t>
  </si>
  <si>
    <t xml:space="preserve">Conservative (10%/mo)</t>
  </si>
  <si>
    <t xml:space="preserve">Moderate (20%/mo)</t>
  </si>
  <si>
    <t xml:space="preserve">Aggressive (35%/mo)</t>
  </si>
  <si>
    <t xml:space="preserve">REALITY CHECK</t>
  </si>
  <si>
    <t xml:space="preserve">To generate $100K/month at 20% monthly return, you need $500K deployed capital.</t>
  </si>
  <si>
    <t xml:space="preserve">At 10% monthly, you need $1M deployed. At 35% monthly, you need ~$286K.</t>
  </si>
  <si>
    <t xml:space="preserve">Starting from $100 with NO additional deposits at 20%/mo: 36+ months to $500K.</t>
  </si>
  <si>
    <t xml:space="preserve">With $500/mo additional deposits at 20%/mo: reaches $500K around month 28.</t>
  </si>
  <si>
    <t xml:space="preserve">The fastest path combines: (1) proven edge, (2) capital additions, (3) compounding.</t>
  </si>
  <si>
    <t xml:space="preserve">Weather markets offer the best compounding vehicle: 5-15 trades/day, 24-48hr resolution.</t>
  </si>
  <si>
    <t xml:space="preserve">Conservative 10%/mo is achievable with disciplined execution. 20%/mo is exceptional. 35%/mo is unsustainable long-term.</t>
  </si>
  <si>
    <t xml:space="preserve">Key risk: a 20% drawdown at any point resets your compounding clock significantly.</t>
  </si>
  <si>
    <t xml:space="preserve">US-FOCUSED SIMULATION TOPICS</t>
  </si>
  <si>
    <t xml:space="preserve">Rank</t>
  </si>
  <si>
    <t xml:space="preserve">Tier</t>
  </si>
  <si>
    <t xml:space="preserve">Topic</t>
  </si>
  <si>
    <t xml:space="preserve">Example Markets</t>
  </si>
  <si>
    <t xml:space="preserve">Volume Level</t>
  </si>
  <si>
    <t xml:space="preserve">Edge Type</t>
  </si>
  <si>
    <t xml:space="preserve">Best Timing</t>
  </si>
  <si>
    <t xml:space="preserve">Why It's Tradeable</t>
  </si>
  <si>
    <t xml:space="preserve">Priority</t>
  </si>
  <si>
    <t xml:space="preserve">1</t>
  </si>
  <si>
    <t xml:space="preserve">Weather (Temperature)</t>
  </si>
  <si>
    <t xml:space="preserve">NYC daily high, LA high, Chicago high</t>
  </si>
  <si>
    <t xml:space="preserve">High ($2M/day)</t>
  </si>
  <si>
    <t xml:space="preserve">Model arbitrage</t>
  </si>
  <si>
    <t xml:space="preserve">Model updates (6hr)</t>
  </si>
  <si>
    <t xml:space="preserve">GFS/ECMWF public data vs slow market repricing. Highest frequency edge.</t>
  </si>
  <si>
    <t xml:space="preserve">START HERE</t>
  </si>
  <si>
    <t xml:space="preserve">Weather (Precipitation)</t>
  </si>
  <si>
    <t xml:space="preserve">Monthly precip in NYC, seasonal records</t>
  </si>
  <si>
    <t xml:space="preserve">Medium</t>
  </si>
  <si>
    <t xml:space="preserve">Model consensus</t>
  </si>
  <si>
    <t xml:space="preserve">Monthly cycle</t>
  </si>
  <si>
    <t xml:space="preserve">NOAA data is precise, resolution is objective, low dispute risk.</t>
  </si>
  <si>
    <t xml:space="preserve">HIGH</t>
  </si>
  <si>
    <t xml:space="preserve">Fed Interest Rate Decisions</t>
  </si>
  <si>
    <t xml:space="preserve">Rate cut/hold March 2026</t>
  </si>
  <si>
    <t xml:space="preserve">Very High</t>
  </si>
  <si>
    <t xml:space="preserve">Data pre-positioning</t>
  </si>
  <si>
    <t xml:space="preserve">Pre-meeting (24-48hr)</t>
  </si>
  <si>
    <t xml:space="preserve">CME FedWatch gives quantitative anchor. 8 meetings/year.</t>
  </si>
  <si>
    <t xml:space="preserve">Trump Policy Actions</t>
  </si>
  <si>
    <t xml:space="preserve">Executive orders, cabinet moves</t>
  </si>
  <si>
    <t xml:space="preserve">Highest ($1B+)</t>
  </si>
  <si>
    <t xml:space="preserve">Speed + analysis</t>
  </si>
  <si>
    <t xml:space="preserve">Breaking news (sec-min)</t>
  </si>
  <si>
    <t xml:space="preserve">Most volume but most efficient. Edge requires speed automation.</t>
  </si>
  <si>
    <t xml:space="preserve">MEDIUM</t>
  </si>
  <si>
    <t xml:space="preserve">Bitcoin Price Thresholds</t>
  </si>
  <si>
    <t xml:space="preserve">BTC above $X by end of month</t>
  </si>
  <si>
    <t xml:space="preserve">Very High ($43M+)</t>
  </si>
  <si>
    <t xml:space="preserve">On-chain + macro</t>
  </si>
  <si>
    <t xml:space="preserve">Macro catalysts</t>
  </si>
  <si>
    <t xml:space="preserve">Cross-platform arb vs. Deribit/CME. Crypto knowledge advantage.</t>
  </si>
  <si>
    <t xml:space="preserve">NCAA March Madness</t>
  </si>
  <si>
    <t xml:space="preserve">Game winners, bracket outcomes</t>
  </si>
  <si>
    <t xml:space="preserve">High (404 markets)</t>
  </si>
  <si>
    <t xml:space="preserve">Statistical models</t>
  </si>
  <si>
    <t xml:space="preserve">Tip-off - game end</t>
  </si>
  <si>
    <t xml:space="preserve">KenPom/Sagarin ratings + injury reports. Short duration, high turnover.</t>
  </si>
  <si>
    <t xml:space="preserve">NBA Games + Championship</t>
  </si>
  <si>
    <t xml:space="preserve">Daily games, series outcomes</t>
  </si>
  <si>
    <t xml:space="preserve">Very High ($355M+)</t>
  </si>
  <si>
    <t xml:space="preserve">Cross-platform arb</t>
  </si>
  <si>
    <t xml:space="preserve">Lineup announcements</t>
  </si>
  <si>
    <t xml:space="preserve">OddsJam arb vs DraftKings/FanDuel. Highest arb frequency.</t>
  </si>
  <si>
    <t xml:space="preserve">2</t>
  </si>
  <si>
    <t xml:space="preserve">S&amp;P 500 Direction</t>
  </si>
  <si>
    <t xml:space="preserve">SPX above/below threshold</t>
  </si>
  <si>
    <t xml:space="preserve">High</t>
  </si>
  <si>
    <t xml:space="preserve">Futures pre-market</t>
  </si>
  <si>
    <t xml:space="preserve">Pre-market (4-9:30 AM)</t>
  </si>
  <si>
    <t xml:space="preserve">ES futures give real-time signal before Polymarket reprices.</t>
  </si>
  <si>
    <t xml:space="preserve">Economic Data (CPI/Jobs)</t>
  </si>
  <si>
    <t xml:space="preserve">CPI above X%, jobs above X</t>
  </si>
  <si>
    <t xml:space="preserve">Medium-High</t>
  </si>
  <si>
    <t xml:space="preserve">Nowcasting models</t>
  </si>
  <si>
    <t xml:space="preserve">Release day (8:30 AM ET)</t>
  </si>
  <si>
    <t xml:space="preserve">Atlanta Fed GDPNow, Cleveland Fed CPI nowcast give quantitative edge.</t>
  </si>
  <si>
    <t xml:space="preserve">AI Model Rankings</t>
  </si>
  <si>
    <t xml:space="preserve">Best AI model March 2026</t>
  </si>
  <si>
    <t xml:space="preserve">Medium ($3.1M)</t>
  </si>
  <si>
    <t xml:space="preserve">Domain expertise</t>
  </si>
  <si>
    <t xml:space="preserve">After model launches</t>
  </si>
  <si>
    <t xml:space="preserve">If you track Chatbot Arena, you know before the crowd.</t>
  </si>
  <si>
    <t xml:space="preserve">Supreme Court Decisions</t>
  </si>
  <si>
    <t xml:space="preserve">Case outcomes for current term</t>
  </si>
  <si>
    <t xml:space="preserve">Legal analysis</t>
  </si>
  <si>
    <t xml:space="preserve">After oral arguments</t>
  </si>
  <si>
    <t xml:space="preserve">SCOTUS blog analysis + historical voting patterns by justice.</t>
  </si>
  <si>
    <t xml:space="preserve">2028 Presidential Race</t>
  </si>
  <si>
    <t xml:space="preserve">Nominee and winner odds</t>
  </si>
  <si>
    <t xml:space="preserve">Polling + base rates</t>
  </si>
  <si>
    <t xml:space="preserve">After debates/primaries</t>
  </si>
  <si>
    <t xml:space="preserve">Multi-outcome market with structural arb. Long-dated.</t>
  </si>
  <si>
    <t xml:space="preserve">LOW (lockup)</t>
  </si>
  <si>
    <t xml:space="preserve">SpaceX Launches</t>
  </si>
  <si>
    <t xml:space="preserve">Mission success/failure</t>
  </si>
  <si>
    <t xml:space="preserve">Technical knowledge</t>
  </si>
  <si>
    <t xml:space="preserve">Pre-launch window</t>
  </si>
  <si>
    <t xml:space="preserve">Launch readiness signals, weather dependencies.</t>
  </si>
  <si>
    <t xml:space="preserve">Government Shutdown</t>
  </si>
  <si>
    <t xml:space="preserve">Will shutdown happen by X</t>
  </si>
  <si>
    <t xml:space="preserve">Legislative tracking</t>
  </si>
  <si>
    <t xml:space="preserve">Funding deadline approach</t>
  </si>
  <si>
    <t xml:space="preserve">Vote counting + historical patterns. Binary, clear resolution.</t>
  </si>
  <si>
    <t xml:space="preserve">Elon Musk Activity</t>
  </si>
  <si>
    <t xml:space="preserve">Tweet counts, business moves</t>
  </si>
  <si>
    <t xml:space="preserve">Social media monitoring</t>
  </si>
  <si>
    <t xml:space="preserve">Real-time X tracking</t>
  </si>
  <si>
    <t xml:space="preserve">High noise. Edge only with systematic monitoring.</t>
  </si>
  <si>
    <t xml:space="preserve">LOW</t>
  </si>
  <si>
    <t xml:space="preserve">NFL/MLB Outcomes</t>
  </si>
  <si>
    <t xml:space="preserve">Season winners, game outcomes</t>
  </si>
  <si>
    <t xml:space="preserve">Pre-game (injuries/lineups)</t>
  </si>
  <si>
    <t xml:space="preserve">Cross-platform arb + advanced metrics (EPA, WAR).</t>
  </si>
  <si>
    <t xml:space="preserve">3</t>
  </si>
  <si>
    <t xml:space="preserve">Tech Earnings</t>
  </si>
  <si>
    <t xml:space="preserve">Will NVDA beat estimates?</t>
  </si>
  <si>
    <t xml:space="preserve">Options-implied moves</t>
  </si>
  <si>
    <t xml:space="preserve">1-2 days pre-earnings</t>
  </si>
  <si>
    <t xml:space="preserve">Whisper numbers + options skew signal. Short duration.</t>
  </si>
  <si>
    <t xml:space="preserve">Crypto Altcoins (ETH/SOL)</t>
  </si>
  <si>
    <t xml:space="preserve">ETH above $X by month end</t>
  </si>
  <si>
    <t xml:space="preserve">Correlated to BTC</t>
  </si>
  <si>
    <t xml:space="preserve">After BTC catalyst</t>
  </si>
  <si>
    <t xml:space="preserve">Idiosyncratic catalysts (ETF, network upgrades) on top of BTC beta.</t>
  </si>
  <si>
    <t xml:space="preserve">Oscars/Entertainment</t>
  </si>
  <si>
    <t xml:space="preserve">Best Picture, Best Actor</t>
  </si>
  <si>
    <t xml:space="preserve">Precursor tracking</t>
  </si>
  <si>
    <t xml:space="preserve">After guild awards</t>
  </si>
  <si>
    <t xml:space="preserve">SAG/DGA/PGA results are strong predictors. Seasonal.</t>
  </si>
  <si>
    <t xml:space="preserve">FDA Drug Approvals</t>
  </si>
  <si>
    <t xml:space="preserve">Will FDA approve X by PDUFA date</t>
  </si>
  <si>
    <t xml:space="preserve">Low-Medium</t>
  </si>
  <si>
    <t xml:space="preserve">Regulatory expertise</t>
  </si>
  <si>
    <t xml:space="preserve">After advisory committee vote</t>
  </si>
  <si>
    <t xml:space="preserve">PDUFA dates are public. AdCom votes are 90%+ predictive.</t>
  </si>
  <si>
    <t xml:space="preserve">HIGH (niche)</t>
  </si>
  <si>
    <t xml:space="preserve">Climate Records</t>
  </si>
  <si>
    <t xml:space="preserve">March 2026 hottest on record</t>
  </si>
  <si>
    <t xml:space="preserve">Climate model data</t>
  </si>
  <si>
    <t xml:space="preserve">After monthly data release</t>
  </si>
  <si>
    <t xml:space="preserve">Copernicus/NASA GISS data is objective. Low competition.</t>
  </si>
  <si>
    <t xml:space="preserve">Cabinet/Personnel Changes</t>
  </si>
  <si>
    <t xml:space="preserve">Will X resign by Y?</t>
  </si>
  <si>
    <t xml:space="preserve">DC political intel</t>
  </si>
  <si>
    <t xml:space="preserve">After media signals</t>
  </si>
  <si>
    <t xml:space="preserve">Requires strong political source network.</t>
  </si>
  <si>
    <t xml:space="preserve">State Elections</t>
  </si>
  <si>
    <t xml:space="preserve">TX Senate primary, local races</t>
  </si>
  <si>
    <t xml:space="preserve">Local polling</t>
  </si>
  <si>
    <t xml:space="preserve">After new polls release</t>
  </si>
  <si>
    <t xml:space="preserve">National traders miss local data. Soft pricing.</t>
  </si>
  <si>
    <t xml:space="preserve">UFC/Combat Sports</t>
  </si>
  <si>
    <t xml:space="preserve">Fight winners</t>
  </si>
  <si>
    <t xml:space="preserve">Fight analysis</t>
  </si>
  <si>
    <t xml:space="preserve">Weigh-ins/pre-fight</t>
  </si>
  <si>
    <t xml:space="preserve">Cross-platform arb against sportsbooks.</t>
  </si>
  <si>
    <t xml:space="preserve">Polymarket Meta-Markets</t>
  </si>
  <si>
    <t xml:space="preserve">PM vs Robinhood metrics</t>
  </si>
  <si>
    <t xml:space="preserve">Low</t>
  </si>
  <si>
    <t xml:space="preserve">Platform analytics</t>
  </si>
  <si>
    <t xml:space="preserve">After SimilarWeb reports</t>
  </si>
  <si>
    <t xml:space="preserve">Very niche. Edge is knowing the measurement methodology.</t>
  </si>
  <si>
    <t xml:space="preserve">INTERNATIONAL SIMULATION TOPICS</t>
  </si>
  <si>
    <t xml:space="preserve">International Weather</t>
  </si>
  <si>
    <t xml:space="preserve">London daily high, Shanghai temp, HK weather</t>
  </si>
  <si>
    <t xml:space="preserve">High ($2M/day total)</t>
  </si>
  <si>
    <t xml:space="preserve">ECMWF updates (6hr)</t>
  </si>
  <si>
    <t xml:space="preserve">Same edge as US weather but different model strengths (ECMWF &gt; GFS for Europe).</t>
  </si>
  <si>
    <t xml:space="preserve">FIFA World Cup 2026</t>
  </si>
  <si>
    <t xml:space="preserve">Match winners, group outcomes, tournament winner</t>
  </si>
  <si>
    <t xml:space="preserve">Pre-match (lineups)</t>
  </si>
  <si>
    <t xml:space="preserve">Cross-platform arb vs Bet365/Betfair. Spain at 15%.</t>
  </si>
  <si>
    <t xml:space="preserve">Russia-Ukraine Ceasefire</t>
  </si>
  <si>
    <t xml:space="preserve">Ceasefire by March/April/June 2026</t>
  </si>
  <si>
    <t xml:space="preserve">Geopolitical analysis</t>
  </si>
  <si>
    <t xml:space="preserve">Diplomatic signals</t>
  </si>
  <si>
    <t xml:space="preserve">Track Minsk/Istanbul formats, sanctions movement. High volume.</t>
  </si>
  <si>
    <t xml:space="preserve">Iran Regime/Succession</t>
  </si>
  <si>
    <t xml:space="preserve">Next Supreme Leader, IRGC stability</t>
  </si>
  <si>
    <t xml:space="preserve">Very High ($45M+)</t>
  </si>
  <si>
    <t xml:space="preserve">Regional expertise</t>
  </si>
  <si>
    <t xml:space="preserve">After leadership signals</t>
  </si>
  <si>
    <t xml:space="preserve">Post-Khamenei death markets. Edge requires Iran expertise.</t>
  </si>
  <si>
    <t xml:space="preserve">UEFA Champions League</t>
  </si>
  <si>
    <t xml:space="preserve">Match winners, tournament champion</t>
  </si>
  <si>
    <t xml:space="preserve">European sportsbook arb. xG/xGA models give quantitative edge.</t>
  </si>
  <si>
    <t xml:space="preserve">Middle East Escalation</t>
  </si>
  <si>
    <t xml:space="preserve">Israel-Hezbollah, regional conflict</t>
  </si>
  <si>
    <t xml:space="preserve">OSINT + speed</t>
  </si>
  <si>
    <t xml:space="preserve">Breaking news</t>
  </si>
  <si>
    <t xml:space="preserve">Hebrew/Arabic language sources process faster than English.</t>
  </si>
  <si>
    <t xml:space="preserve">European Elections</t>
  </si>
  <si>
    <t xml:space="preserve">Germany, France, Hungary outcomes</t>
  </si>
  <si>
    <t xml:space="preserve">Local polling data</t>
  </si>
  <si>
    <t xml:space="preserve">After new polls</t>
  </si>
  <si>
    <t xml:space="preserve">Multi-outcome markets with thin liquidity = pricing inefficiency.</t>
  </si>
  <si>
    <t xml:space="preserve">ECB Rate Decisions</t>
  </si>
  <si>
    <t xml:space="preserve">ECB cut/hold/raise</t>
  </si>
  <si>
    <t xml:space="preserve">Eurozone macro data</t>
  </si>
  <si>
    <t xml:space="preserve">Mirror of Fed strategy but for EUR. Less efficient.</t>
  </si>
  <si>
    <t xml:space="preserve">China-Taiwan Tensions</t>
  </si>
  <si>
    <t xml:space="preserve">Military action by specific dates</t>
  </si>
  <si>
    <t xml:space="preserve">PLA exercise tracking</t>
  </si>
  <si>
    <t xml:space="preserve">After military signals</t>
  </si>
  <si>
    <t xml:space="preserve">Long-dated, low resolution frequency. Requires patience.</t>
  </si>
  <si>
    <t xml:space="preserve">Crude Oil Prices</t>
  </si>
  <si>
    <t xml:space="preserve">CL above $X by month end</t>
  </si>
  <si>
    <t xml:space="preserve">OPEC+ intel</t>
  </si>
  <si>
    <t xml:space="preserve">Pre-OPEC meeting</t>
  </si>
  <si>
    <t xml:space="preserve">Tanker tracking data, compliance monitoring. Cross-asset correlation.</t>
  </si>
  <si>
    <t xml:space="preserve">UK Politics/Policy</t>
  </si>
  <si>
    <t xml:space="preserve">PM actions, election timing</t>
  </si>
  <si>
    <t xml:space="preserve">UK polling (YouGov)</t>
  </si>
  <si>
    <t xml:space="preserve">After poll releases</t>
  </si>
  <si>
    <t xml:space="preserve">Polymarket often lags UK-specific data. Timezone advantage.</t>
  </si>
  <si>
    <t xml:space="preserve">Premier League Soccer</t>
  </si>
  <si>
    <t xml:space="preserve">Match winners, title race</t>
  </si>
  <si>
    <t xml:space="preserve">xG models</t>
  </si>
  <si>
    <t xml:space="preserve">Cross-platform arb against Bet365/Betfair/William Hill.</t>
  </si>
  <si>
    <t xml:space="preserve">Netanyahu/Israel Politics</t>
  </si>
  <si>
    <t xml:space="preserve">PM departure timeline</t>
  </si>
  <si>
    <t xml:space="preserve">Israeli media</t>
  </si>
  <si>
    <t xml:space="preserve">After coalition signals</t>
  </si>
  <si>
    <t xml:space="preserve">Requires Hebrew-language news monitoring.</t>
  </si>
  <si>
    <t xml:space="preserve">Bank of Japan Decisions</t>
  </si>
  <si>
    <t xml:space="preserve">BOJ rate normalization</t>
  </si>
  <si>
    <t xml:space="preserve">Japanese economic data</t>
  </si>
  <si>
    <t xml:space="preserve">Pre-meeting</t>
  </si>
  <si>
    <t xml:space="preserve">Policy normalization is a multi-year story. Edge: JPY intervention history.</t>
  </si>
  <si>
    <t xml:space="preserve">Brazil/LatAm Elections</t>
  </si>
  <si>
    <t xml:space="preserve">Presidential outcomes, policy actions</t>
  </si>
  <si>
    <t xml:space="preserve">Portuguese/Spanish news</t>
  </si>
  <si>
    <t xml:space="preserve">After polls/events</t>
  </si>
  <si>
    <t xml:space="preserve">Massive information asymmetry. Most traders don't track.</t>
  </si>
  <si>
    <t xml:space="preserve">Global Crypto Regulation</t>
  </si>
  <si>
    <t xml:space="preserve">Country-level ban/legalize</t>
  </si>
  <si>
    <t xml:space="preserve">After regulatory signals</t>
  </si>
  <si>
    <t xml:space="preserve">Multiple jurisdictions simultaneously = arbitrage opportunity.</t>
  </si>
  <si>
    <t xml:space="preserve">La Liga/Bundesliga Soccer</t>
  </si>
  <si>
    <t xml:space="preserve">Match winners</t>
  </si>
  <si>
    <t xml:space="preserve">Pre-match</t>
  </si>
  <si>
    <t xml:space="preserve">Cross-platform arb. Less liquid than PL but softer pricing.</t>
  </si>
  <si>
    <t xml:space="preserve">Indian Politics/Economy</t>
  </si>
  <si>
    <t xml:space="preserve">Elections, economic milestones</t>
  </si>
  <si>
    <t xml:space="preserve">Local Indian media</t>
  </si>
  <si>
    <t xml:space="preserve">After election results</t>
  </si>
  <si>
    <t xml:space="preserve">World's largest democracy, minimal Polymarket coverage. Huge info asymmetry.</t>
  </si>
  <si>
    <t xml:space="preserve">Formula 1 Races</t>
  </si>
  <si>
    <t xml:space="preserve">Race winners, constructor standings</t>
  </si>
  <si>
    <t xml:space="preserve">Qualifying data</t>
  </si>
  <si>
    <t xml:space="preserve">Post-qualifying</t>
  </si>
  <si>
    <t xml:space="preserve">Qualifying position is highly predictive. Wet weather = edge.</t>
  </si>
  <si>
    <t xml:space="preserve">Esports Tournaments</t>
  </si>
  <si>
    <t xml:space="preserve">Dota 2, CS2, LoL</t>
  </si>
  <si>
    <t xml:space="preserve">Elo ratings/form</t>
  </si>
  <si>
    <t xml:space="preserve">Pre-match (roster)</t>
  </si>
  <si>
    <t xml:space="preserve">Very niche. Edge: specialized knowledge of team form/patches.</t>
  </si>
  <si>
    <t xml:space="preserve">Tennis Grand Slams</t>
  </si>
  <si>
    <t xml:space="preserve">Match/tournament winners</t>
  </si>
  <si>
    <t xml:space="preserve">Surface specialization</t>
  </si>
  <si>
    <t xml:space="preserve">Draw release</t>
  </si>
  <si>
    <t xml:space="preserve">Surface-specific Elo + H2H records give quantitative edge.</t>
  </si>
  <si>
    <t xml:space="preserve">Cricket (IPL/Intl)</t>
  </si>
  <si>
    <t xml:space="preserve">Match winners, series outcomes</t>
  </si>
  <si>
    <t xml:space="preserve">Pitch reports</t>
  </si>
  <si>
    <t xml:space="preserve">Toss result</t>
  </si>
  <si>
    <t xml:space="preserve">Toss advantage in cricket is real and underpriced. Niche.</t>
  </si>
  <si>
    <t xml:space="preserve">African Elections</t>
  </si>
  <si>
    <t xml:space="preserve">Nigeria, South Africa, Kenya</t>
  </si>
  <si>
    <t xml:space="preserve">Local media</t>
  </si>
  <si>
    <t xml:space="preserve">After results trickle</t>
  </si>
  <si>
    <t xml:space="preserve">Thinnest liquidity = largest mispricings. Very few traders.</t>
  </si>
  <si>
    <t xml:space="preserve">MEDIUM (niche)</t>
  </si>
  <si>
    <t xml:space="preserve">WHO/Global Health</t>
  </si>
  <si>
    <t xml:space="preserve">Pandemic declarations, disease thresholds</t>
  </si>
  <si>
    <t xml:space="preserve">Epi surveillance</t>
  </si>
  <si>
    <t xml:space="preserve">After WHO reports</t>
  </si>
  <si>
    <t xml:space="preserve">ProMED, WHO situation reports give early warning.</t>
  </si>
  <si>
    <t xml:space="preserve">NATO Defense Spending</t>
  </si>
  <si>
    <t xml:space="preserve">2% GDP target by country</t>
  </si>
  <si>
    <t xml:space="preserve">Budget cycle tracking</t>
  </si>
  <si>
    <t xml:space="preserve">After budget votes</t>
  </si>
  <si>
    <t xml:space="preserve">Parliamentary calendars are public. Low competition.</t>
  </si>
  <si>
    <t xml:space="preserve">SIMULATION TRADE JOURNAL</t>
  </si>
  <si>
    <t xml:space="preserve">Date</t>
  </si>
  <si>
    <t xml:space="preserve">Mkt #</t>
  </si>
  <si>
    <t xml:space="preserve">Market</t>
  </si>
  <si>
    <t xml:space="preserve">Direction</t>
  </si>
  <si>
    <t xml:space="preserve">Size ($)</t>
  </si>
  <si>
    <t xml:space="preserve">Entry Price</t>
  </si>
  <si>
    <t xml:space="preserve">Your Prob</t>
  </si>
  <si>
    <t xml:space="preserve">Market Prob</t>
  </si>
  <si>
    <t xml:space="preserve">EV at Entry</t>
  </si>
  <si>
    <t xml:space="preserve">Strategy</t>
  </si>
  <si>
    <t xml:space="preserve">Correlation Group</t>
  </si>
  <si>
    <t xml:space="preserve">Lockup Days</t>
  </si>
  <si>
    <t xml:space="preserve">Exit Price</t>
  </si>
  <si>
    <t xml:space="preserve">P&amp;L ($)</t>
  </si>
  <si>
    <t xml:space="preserve">Running Balance</t>
  </si>
  <si>
    <t xml:space="preserve">Notes</t>
  </si>
  <si>
    <t xml:space="preserve">$100 → $100K/MONTH SCALING ROADMAP</t>
  </si>
  <si>
    <t xml:space="preserve">Phase-gated progression — do not advance until milestones are met</t>
  </si>
  <si>
    <t xml:space="preserve">Phase</t>
  </si>
  <si>
    <t xml:space="preserve">Capital Range</t>
  </si>
  <si>
    <t xml:space="preserve">Duration</t>
  </si>
  <si>
    <t xml:space="preserve">Monthly Target</t>
  </si>
  <si>
    <t xml:space="preserve">Primary Strategy</t>
  </si>
  <si>
    <t xml:space="preserve">Key Markets</t>
  </si>
  <si>
    <t xml:space="preserve">Gate to Next Phase</t>
  </si>
  <si>
    <t xml:space="preserve">1: LEARN</t>
  </si>
  <si>
    <t xml:space="preserve">$100-$300</t>
  </si>
  <si>
    <t xml:space="preserve">Months 1-2</t>
  </si>
  <si>
    <t xml:space="preserve">Break even</t>
  </si>
  <si>
    <t xml:space="preserve">Paper trading + small real trades</t>
  </si>
  <si>
    <t xml:space="preserve">Weather (temp), NCAA, NBA daily</t>
  </si>
  <si>
    <t xml:space="preserve">10+ error-free trades, positive Brier score vs market</t>
  </si>
  <si>
    <t xml:space="preserve">2: PROVE EDGE</t>
  </si>
  <si>
    <t xml:space="preserve">$300-$1,000</t>
  </si>
  <si>
    <t xml:space="preserve">Months 2-4</t>
  </si>
  <si>
    <t xml:space="preserve">10-15% monthly</t>
  </si>
  <si>
    <t xml:space="preserve">Weather model arb + sports cross-platform arb</t>
  </si>
  <si>
    <t xml:space="preserve">Weather (all cities), Fed decisions, S&amp;P direction</t>
  </si>
  <si>
    <t xml:space="preserve">Positive ROI over 60 days, documented edge in 2+ strategies</t>
  </si>
  <si>
    <t xml:space="preserve">3: COMPOUND</t>
  </si>
  <si>
    <t xml:space="preserve">$1,000-$5,000</t>
  </si>
  <si>
    <t xml:space="preserve">Months 4-8</t>
  </si>
  <si>
    <t xml:space="preserve">15-20% monthly</t>
  </si>
  <si>
    <t xml:space="preserve">Weather bots + event-driven swing trades</t>
  </si>
  <si>
    <t xml:space="preserve">Weather automated, crypto thresholds, elections</t>
  </si>
  <si>
    <t xml:space="preserve">Automated at least 1 workflow, $5K+ volume traded profitably</t>
  </si>
  <si>
    <t xml:space="preserve">4: SCALE</t>
  </si>
  <si>
    <t xml:space="preserve">$5,000-$25,000</t>
  </si>
  <si>
    <t xml:space="preserve">Months 8-14</t>
  </si>
  <si>
    <t xml:space="preserve">Multi-strategy portfolio + capital additions</t>
  </si>
  <si>
    <t xml:space="preserve">All Tier 1-2 US + International weather/sports</t>
  </si>
  <si>
    <t xml:space="preserve">Consistent 15%+ monthly over 6 months, max drawdown &lt;15%</t>
  </si>
  <si>
    <t xml:space="preserve">5: INCOME</t>
  </si>
  <si>
    <t xml:space="preserve">$25,000-$100,000</t>
  </si>
  <si>
    <t xml:space="preserve">Months 14-20</t>
  </si>
  <si>
    <t xml:space="preserve">Full automation + domain specialization</t>
  </si>
  <si>
    <t xml:space="preserve">Diversified across 5+ categories, 20+ active positions</t>
  </si>
  <si>
    <t xml:space="preserve">Generating $5K-$20K/month sustainable income</t>
  </si>
  <si>
    <t xml:space="preserve">6: TARGET</t>
  </si>
  <si>
    <t xml:space="preserve">$100,000-$500,000</t>
  </si>
  <si>
    <t xml:space="preserve">Months 20-30</t>
  </si>
  <si>
    <t xml:space="preserve">$100K/month</t>
  </si>
  <si>
    <t xml:space="preserve">Professional-grade ops + multiple bots</t>
  </si>
  <si>
    <t xml:space="preserve">Full global coverage, weather + politics + crypto + sports</t>
  </si>
  <si>
    <t xml:space="preserve">$100K/month from trading returns (requires $500K at 20%/mo)</t>
  </si>
  <si>
    <t xml:space="preserve">CAPITAL ADDITION ACCELERATOR</t>
  </si>
  <si>
    <t xml:space="preserve">Monthly Deposit</t>
  </si>
  <si>
    <t xml:space="preserve">Months to $500K (at 20%/mo)</t>
  </si>
  <si>
    <t xml:space="preserve">Months Saved vs $0 Deposit</t>
  </si>
  <si>
    <t xml:space="preserve">$0/month</t>
  </si>
  <si>
    <t xml:space="preserve">36+</t>
  </si>
  <si>
    <t xml:space="preserve">Baseline</t>
  </si>
  <si>
    <t xml:space="preserve">$200/month</t>
  </si>
  <si>
    <t xml:space="preserve">~30</t>
  </si>
  <si>
    <t xml:space="preserve">~6 months</t>
  </si>
  <si>
    <t xml:space="preserve">$500/month</t>
  </si>
  <si>
    <t xml:space="preserve">~27</t>
  </si>
  <si>
    <t xml:space="preserve">~9 months</t>
  </si>
  <si>
    <t xml:space="preserve">$1,000/month</t>
  </si>
  <si>
    <t xml:space="preserve">~25</t>
  </si>
  <si>
    <t xml:space="preserve">~11 months</t>
  </si>
  <si>
    <t xml:space="preserve">$2,500/month</t>
  </si>
  <si>
    <t xml:space="preserve">~22</t>
  </si>
  <si>
    <t xml:space="preserve">~14 months</t>
  </si>
  <si>
    <t xml:space="preserve">$5,000/month</t>
  </si>
  <si>
    <t xml:space="preserve">~20</t>
  </si>
  <si>
    <t xml:space="preserve">~16 months</t>
  </si>
  <si>
    <t xml:space="preserve">CRITICAL INSIGHT</t>
  </si>
  <si>
    <t xml:space="preserve">The fastest realistic path to $100K/month from $100 is approximately 24-30 months.</t>
  </si>
  <si>
    <t xml:space="preserve">This assumes: (1) 15-20% monthly return (exceptional but documented), (2) $500-2,500/month capital additions, (3) zero catastrophic drawdowns.</t>
  </si>
  <si>
    <t xml:space="preserve">Weather trading is the compounding engine: 5-15 trades/day, objective resolution, structural model-data edge.</t>
  </si>
  <si>
    <t xml:space="preserve">Phase 1-2 is about PROVING EDGE, not making money. If you can't beat the market over 60 days, don't scale.</t>
  </si>
  <si>
    <t xml:space="preserve">The #1 killer of compounding is a large drawdown. A 50% loss requires a 100% gain to recover. Protect capital above all else.</t>
  </si>
  <si>
    <t xml:space="preserve">At $100 starting capital, your first $10K will come primarily from capital additions + small compounding gains.</t>
  </si>
  <si>
    <t xml:space="preserve">After $10K, compounding takes over and additions become less impactful. This is the inflection point.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</si>
</sst>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2"/>
      <color rgb="FFE857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2D3748"/>
      </patternFill>
    </fill>
    <fill>
      <patternFill patternType="solid">
        <fgColor rgb="FFFFF9E6"/>
        <bgColor rgb="FFFFFFFF"/>
      </patternFill>
    </fill>
    <fill>
      <patternFill patternType="solid">
        <fgColor rgb="FFE8571F"/>
        <bgColor rgb="FFFF8080"/>
      </patternFill>
    </fill>
    <fill>
      <patternFill patternType="solid">
        <fgColor rgb="FFE8F5E9"/>
        <bgColor rgb="FFE3F2FD"/>
      </patternFill>
    </fill>
    <fill>
      <patternFill patternType="solid">
        <fgColor rgb="FFFDE8E8"/>
        <bgColor rgb="FFFFF9E6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3F2FD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8F5E9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71F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71F"/>
    <pageSetUpPr fitToPage="false"/>
  </sheetPr>
  <dimension ref="B1:M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8"/>
    <col collapsed="false" customWidth="true" hidden="false" outlineLevel="0" max="7" min="7" style="1" width="20"/>
    <col collapsed="false" customWidth="true" hidden="false" outlineLevel="0" max="8" min="8" style="1" width="22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B6" s="6" t="s">
        <v>7</v>
      </c>
      <c r="C6" s="7" t="n">
        <v>100</v>
      </c>
      <c r="D6" s="7" t="n">
        <v>100</v>
      </c>
      <c r="E6" s="7" t="n">
        <v>100</v>
      </c>
    </row>
    <row r="7" customFormat="false" ht="15" hidden="false" customHeight="true" outlineLevel="0" collapsed="false">
      <c r="B7" s="6" t="s">
        <v>8</v>
      </c>
      <c r="C7" s="8" t="n">
        <v>0.1</v>
      </c>
      <c r="D7" s="8" t="n">
        <v>0.2</v>
      </c>
      <c r="E7" s="8" t="n">
        <v>0.35</v>
      </c>
    </row>
    <row r="8" customFormat="false" ht="15" hidden="false" customHeight="true" outlineLevel="0" collapsed="false">
      <c r="B8" s="6" t="s">
        <v>9</v>
      </c>
      <c r="C8" s="7" t="n">
        <v>0</v>
      </c>
      <c r="D8" s="7" t="n">
        <v>200</v>
      </c>
      <c r="E8" s="7" t="n">
        <v>500</v>
      </c>
    </row>
    <row r="9" customFormat="false" ht="15" hidden="false" customHeight="true" outlineLevel="0" collapsed="false">
      <c r="B9" s="6" t="s">
        <v>10</v>
      </c>
      <c r="C9" s="9" t="n">
        <v>40</v>
      </c>
      <c r="D9" s="9" t="n">
        <v>80</v>
      </c>
      <c r="E9" s="9" t="n">
        <v>200</v>
      </c>
    </row>
    <row r="10" customFormat="false" ht="15" hidden="false" customHeight="true" outlineLevel="0" collapsed="false">
      <c r="B10" s="6" t="s">
        <v>11</v>
      </c>
      <c r="C10" s="8" t="n">
        <v>0.03</v>
      </c>
      <c r="D10" s="8" t="n">
        <v>0.05</v>
      </c>
      <c r="E10" s="8" t="n">
        <v>0.08</v>
      </c>
    </row>
    <row r="11" customFormat="false" ht="15" hidden="false" customHeight="true" outlineLevel="0" collapsed="false">
      <c r="B11" s="6" t="s">
        <v>12</v>
      </c>
      <c r="C11" s="8" t="n">
        <v>0.55</v>
      </c>
      <c r="D11" s="8" t="n">
        <v>0.6</v>
      </c>
      <c r="E11" s="8" t="n">
        <v>0.65</v>
      </c>
    </row>
    <row r="12" customFormat="false" ht="15" hidden="false" customHeight="true" outlineLevel="0" collapsed="false">
      <c r="B12" s="6" t="s">
        <v>13</v>
      </c>
      <c r="C12" s="8" t="n">
        <v>0.02</v>
      </c>
      <c r="D12" s="8" t="n">
        <v>0.03</v>
      </c>
      <c r="E12" s="8" t="n">
        <v>0.05</v>
      </c>
    </row>
    <row r="13" customFormat="false" ht="15" hidden="false" customHeight="true" outlineLevel="0" collapsed="false">
      <c r="B13" s="6" t="s">
        <v>14</v>
      </c>
      <c r="C13" s="7" t="n">
        <v>100000</v>
      </c>
      <c r="D13" s="7" t="n">
        <v>100000</v>
      </c>
      <c r="E13" s="7" t="n">
        <v>100000</v>
      </c>
    </row>
    <row r="16" customFormat="false" ht="15" hidden="false" customHeight="true" outlineLevel="0" collapsed="false">
      <c r="B16" s="4" t="s">
        <v>15</v>
      </c>
    </row>
    <row r="17" customFormat="false" ht="15" hidden="false" customHeight="true" outlineLevel="0" collapsed="false">
      <c r="B17" s="10" t="s">
        <v>16</v>
      </c>
      <c r="E17" s="10" t="s">
        <v>17</v>
      </c>
      <c r="H17" s="10" t="s">
        <v>18</v>
      </c>
    </row>
    <row r="18" customFormat="false" ht="15" hidden="false" customHeight="true" outlineLevel="0" collapsed="false">
      <c r="B18" s="5" t="s">
        <v>19</v>
      </c>
      <c r="C18" s="5" t="s">
        <v>20</v>
      </c>
      <c r="D18" s="5" t="s">
        <v>21</v>
      </c>
      <c r="E18" s="5" t="s">
        <v>19</v>
      </c>
      <c r="F18" s="5" t="s">
        <v>20</v>
      </c>
      <c r="G18" s="5" t="s">
        <v>22</v>
      </c>
      <c r="H18" s="5" t="s">
        <v>19</v>
      </c>
      <c r="I18" s="5" t="s">
        <v>20</v>
      </c>
      <c r="J18" s="5" t="s">
        <v>22</v>
      </c>
    </row>
    <row r="19" customFormat="false" ht="15" hidden="false" customHeight="true" outlineLevel="0" collapsed="false">
      <c r="B19" s="11" t="n">
        <v>1</v>
      </c>
      <c r="C19" s="12" t="n">
        <f aca="false">C6</f>
        <v>100</v>
      </c>
      <c r="D19" s="12" t="n">
        <f aca="false">C19*C7</f>
        <v>10</v>
      </c>
      <c r="E19" s="12" t="n">
        <f aca="false">C8</f>
        <v>0</v>
      </c>
      <c r="F19" s="12" t="n">
        <f aca="false">C19+D19+E19</f>
        <v>110</v>
      </c>
      <c r="G19" s="12" t="n">
        <f aca="false">F19*C7</f>
        <v>11</v>
      </c>
      <c r="H19" s="11" t="n">
        <v>1</v>
      </c>
      <c r="I19" s="12" t="n">
        <f aca="false">D6</f>
        <v>100</v>
      </c>
      <c r="J19" s="12" t="n">
        <f aca="false">I19*(1+D7)+D8</f>
        <v>320</v>
      </c>
      <c r="K19" s="11" t="n">
        <v>1</v>
      </c>
      <c r="L19" s="12" t="n">
        <f aca="false">E6</f>
        <v>100</v>
      </c>
      <c r="M19" s="12" t="n">
        <f aca="false">L19*(1+E7)+E8</f>
        <v>635</v>
      </c>
    </row>
    <row r="20" customFormat="false" ht="15" hidden="false" customHeight="true" outlineLevel="0" collapsed="false">
      <c r="B20" s="11" t="n">
        <v>2</v>
      </c>
      <c r="C20" s="12" t="n">
        <f aca="false">F19</f>
        <v>110</v>
      </c>
      <c r="D20" s="12" t="n">
        <f aca="false">C20*C7</f>
        <v>11</v>
      </c>
      <c r="E20" s="12" t="n">
        <f aca="false">C8</f>
        <v>0</v>
      </c>
      <c r="F20" s="12" t="n">
        <f aca="false">C20+D20+E20</f>
        <v>121</v>
      </c>
      <c r="G20" s="12" t="n">
        <f aca="false">F20*C7</f>
        <v>12.1</v>
      </c>
      <c r="H20" s="11" t="n">
        <v>2</v>
      </c>
      <c r="I20" s="12" t="n">
        <f aca="false">J19</f>
        <v>320</v>
      </c>
      <c r="J20" s="12" t="n">
        <f aca="false">I20*(1+D7)+D8</f>
        <v>584</v>
      </c>
      <c r="K20" s="11" t="n">
        <v>2</v>
      </c>
      <c r="L20" s="12" t="n">
        <f aca="false">M19</f>
        <v>635</v>
      </c>
      <c r="M20" s="12" t="n">
        <f aca="false">L20*(1+E7)+E8</f>
        <v>1357.25</v>
      </c>
    </row>
    <row r="21" customFormat="false" ht="15" hidden="false" customHeight="true" outlineLevel="0" collapsed="false">
      <c r="B21" s="11" t="n">
        <v>3</v>
      </c>
      <c r="C21" s="12" t="n">
        <f aca="false">F20</f>
        <v>121</v>
      </c>
      <c r="D21" s="12" t="n">
        <f aca="false">C21*C7</f>
        <v>12.1</v>
      </c>
      <c r="E21" s="12" t="n">
        <f aca="false">C8</f>
        <v>0</v>
      </c>
      <c r="F21" s="12" t="n">
        <f aca="false">C21+D21+E21</f>
        <v>133.1</v>
      </c>
      <c r="G21" s="12" t="n">
        <f aca="false">F21*C7</f>
        <v>13.31</v>
      </c>
      <c r="H21" s="11" t="n">
        <v>3</v>
      </c>
      <c r="I21" s="12" t="n">
        <f aca="false">J20</f>
        <v>584</v>
      </c>
      <c r="J21" s="12" t="n">
        <f aca="false">I21*(1+D7)+D8</f>
        <v>900.8</v>
      </c>
      <c r="K21" s="11" t="n">
        <v>3</v>
      </c>
      <c r="L21" s="12" t="n">
        <f aca="false">M20</f>
        <v>1357.25</v>
      </c>
      <c r="M21" s="12" t="n">
        <f aca="false">L21*(1+E7)+E8</f>
        <v>2332.2875</v>
      </c>
    </row>
    <row r="22" customFormat="false" ht="15" hidden="false" customHeight="true" outlineLevel="0" collapsed="false">
      <c r="B22" s="11" t="n">
        <v>4</v>
      </c>
      <c r="C22" s="12" t="n">
        <f aca="false">F21</f>
        <v>133.1</v>
      </c>
      <c r="D22" s="12" t="n">
        <f aca="false">C22*C7</f>
        <v>13.31</v>
      </c>
      <c r="E22" s="12" t="n">
        <f aca="false">C8</f>
        <v>0</v>
      </c>
      <c r="F22" s="12" t="n">
        <f aca="false">C22+D22+E22</f>
        <v>146.41</v>
      </c>
      <c r="G22" s="12" t="n">
        <f aca="false">F22*C7</f>
        <v>14.641</v>
      </c>
      <c r="H22" s="11" t="n">
        <v>4</v>
      </c>
      <c r="I22" s="12" t="n">
        <f aca="false">J21</f>
        <v>900.8</v>
      </c>
      <c r="J22" s="12" t="n">
        <f aca="false">I22*(1+D7)+D8</f>
        <v>1280.96</v>
      </c>
      <c r="K22" s="11" t="n">
        <v>4</v>
      </c>
      <c r="L22" s="12" t="n">
        <f aca="false">M21</f>
        <v>2332.2875</v>
      </c>
      <c r="M22" s="12" t="n">
        <f aca="false">L22*(1+E7)+E8</f>
        <v>3648.588125</v>
      </c>
    </row>
    <row r="23" customFormat="false" ht="15" hidden="false" customHeight="true" outlineLevel="0" collapsed="false">
      <c r="B23" s="11" t="n">
        <v>5</v>
      </c>
      <c r="C23" s="12" t="n">
        <f aca="false">F22</f>
        <v>146.41</v>
      </c>
      <c r="D23" s="12" t="n">
        <f aca="false">C23*C7</f>
        <v>14.641</v>
      </c>
      <c r="E23" s="12" t="n">
        <f aca="false">C8</f>
        <v>0</v>
      </c>
      <c r="F23" s="12" t="n">
        <f aca="false">C23+D23+E23</f>
        <v>161.051</v>
      </c>
      <c r="G23" s="12" t="n">
        <f aca="false">F23*C7</f>
        <v>16.1051</v>
      </c>
      <c r="H23" s="11" t="n">
        <v>5</v>
      </c>
      <c r="I23" s="12" t="n">
        <f aca="false">J22</f>
        <v>1280.96</v>
      </c>
      <c r="J23" s="12" t="n">
        <f aca="false">I23*(1+D7)+D8</f>
        <v>1737.152</v>
      </c>
      <c r="K23" s="11" t="n">
        <v>5</v>
      </c>
      <c r="L23" s="12" t="n">
        <f aca="false">M22</f>
        <v>3648.588125</v>
      </c>
      <c r="M23" s="12" t="n">
        <f aca="false">L23*(1+E7)+E8</f>
        <v>5425.59396875</v>
      </c>
    </row>
    <row r="24" customFormat="false" ht="15" hidden="false" customHeight="true" outlineLevel="0" collapsed="false">
      <c r="B24" s="11" t="n">
        <v>6</v>
      </c>
      <c r="C24" s="12" t="n">
        <f aca="false">F23</f>
        <v>161.051</v>
      </c>
      <c r="D24" s="12" t="n">
        <f aca="false">C24*C7</f>
        <v>16.1051</v>
      </c>
      <c r="E24" s="12" t="n">
        <f aca="false">C8</f>
        <v>0</v>
      </c>
      <c r="F24" s="12" t="n">
        <f aca="false">C24+D24+E24</f>
        <v>177.1561</v>
      </c>
      <c r="G24" s="12" t="n">
        <f aca="false">F24*C7</f>
        <v>17.71561</v>
      </c>
      <c r="H24" s="11" t="n">
        <v>6</v>
      </c>
      <c r="I24" s="12" t="n">
        <f aca="false">J23</f>
        <v>1737.152</v>
      </c>
      <c r="J24" s="12" t="n">
        <f aca="false">I24*(1+D7)+D8</f>
        <v>2284.5824</v>
      </c>
      <c r="K24" s="11" t="n">
        <v>6</v>
      </c>
      <c r="L24" s="12" t="n">
        <f aca="false">M23</f>
        <v>5425.59396875</v>
      </c>
      <c r="M24" s="12" t="n">
        <f aca="false">L24*(1+E7)+E8</f>
        <v>7824.5518578125</v>
      </c>
    </row>
    <row r="25" customFormat="false" ht="15" hidden="false" customHeight="true" outlineLevel="0" collapsed="false">
      <c r="B25" s="11" t="n">
        <v>7</v>
      </c>
      <c r="C25" s="12" t="n">
        <f aca="false">F24</f>
        <v>177.1561</v>
      </c>
      <c r="D25" s="12" t="n">
        <f aca="false">C25*C7</f>
        <v>17.71561</v>
      </c>
      <c r="E25" s="12" t="n">
        <f aca="false">C8</f>
        <v>0</v>
      </c>
      <c r="F25" s="12" t="n">
        <f aca="false">C25+D25+E25</f>
        <v>194.87171</v>
      </c>
      <c r="G25" s="12" t="n">
        <f aca="false">F25*C7</f>
        <v>19.487171</v>
      </c>
      <c r="H25" s="11" t="n">
        <v>7</v>
      </c>
      <c r="I25" s="12" t="n">
        <f aca="false">J24</f>
        <v>2284.5824</v>
      </c>
      <c r="J25" s="12" t="n">
        <f aca="false">I25*(1+D7)+D8</f>
        <v>2941.49888</v>
      </c>
      <c r="K25" s="11" t="n">
        <v>7</v>
      </c>
      <c r="L25" s="12" t="n">
        <f aca="false">M24</f>
        <v>7824.5518578125</v>
      </c>
      <c r="M25" s="12" t="n">
        <f aca="false">L25*(1+E7)+E8</f>
        <v>11063.1450080469</v>
      </c>
    </row>
    <row r="26" customFormat="false" ht="15" hidden="false" customHeight="true" outlineLevel="0" collapsed="false">
      <c r="B26" s="11" t="n">
        <v>8</v>
      </c>
      <c r="C26" s="12" t="n">
        <f aca="false">F25</f>
        <v>194.87171</v>
      </c>
      <c r="D26" s="12" t="n">
        <f aca="false">C26*C7</f>
        <v>19.487171</v>
      </c>
      <c r="E26" s="12" t="n">
        <f aca="false">C8</f>
        <v>0</v>
      </c>
      <c r="F26" s="12" t="n">
        <f aca="false">C26+D26+E26</f>
        <v>214.358881</v>
      </c>
      <c r="G26" s="12" t="n">
        <f aca="false">F26*C7</f>
        <v>21.4358881</v>
      </c>
      <c r="H26" s="11" t="n">
        <v>8</v>
      </c>
      <c r="I26" s="12" t="n">
        <f aca="false">J25</f>
        <v>2941.49888</v>
      </c>
      <c r="J26" s="12" t="n">
        <f aca="false">I26*(1+D7)+D8</f>
        <v>3729.798656</v>
      </c>
      <c r="K26" s="11" t="n">
        <v>8</v>
      </c>
      <c r="L26" s="12" t="n">
        <f aca="false">M25</f>
        <v>11063.1450080469</v>
      </c>
      <c r="M26" s="12" t="n">
        <f aca="false">L26*(1+E7)+E8</f>
        <v>15435.2457608633</v>
      </c>
    </row>
    <row r="27" customFormat="false" ht="15" hidden="false" customHeight="true" outlineLevel="0" collapsed="false">
      <c r="B27" s="11" t="n">
        <v>9</v>
      </c>
      <c r="C27" s="12" t="n">
        <f aca="false">F26</f>
        <v>214.358881</v>
      </c>
      <c r="D27" s="12" t="n">
        <f aca="false">C27*C7</f>
        <v>21.4358881</v>
      </c>
      <c r="E27" s="12" t="n">
        <f aca="false">C8</f>
        <v>0</v>
      </c>
      <c r="F27" s="12" t="n">
        <f aca="false">C27+D27+E27</f>
        <v>235.7947691</v>
      </c>
      <c r="G27" s="12" t="n">
        <f aca="false">F27*C7</f>
        <v>23.57947691</v>
      </c>
      <c r="H27" s="11" t="n">
        <v>9</v>
      </c>
      <c r="I27" s="12" t="n">
        <f aca="false">J26</f>
        <v>3729.798656</v>
      </c>
      <c r="J27" s="12" t="n">
        <f aca="false">I27*(1+D7)+D8</f>
        <v>4675.7583872</v>
      </c>
      <c r="K27" s="11" t="n">
        <v>9</v>
      </c>
      <c r="L27" s="12" t="n">
        <f aca="false">M26</f>
        <v>15435.2457608633</v>
      </c>
      <c r="M27" s="12" t="n">
        <f aca="false">L27*(1+E7)+E8</f>
        <v>21337.5817771654</v>
      </c>
    </row>
    <row r="28" customFormat="false" ht="15" hidden="false" customHeight="true" outlineLevel="0" collapsed="false">
      <c r="B28" s="11" t="n">
        <v>10</v>
      </c>
      <c r="C28" s="12" t="n">
        <f aca="false">F27</f>
        <v>235.7947691</v>
      </c>
      <c r="D28" s="12" t="n">
        <f aca="false">C28*C7</f>
        <v>23.57947691</v>
      </c>
      <c r="E28" s="12" t="n">
        <f aca="false">C8</f>
        <v>0</v>
      </c>
      <c r="F28" s="12" t="n">
        <f aca="false">C28+D28+E28</f>
        <v>259.37424601</v>
      </c>
      <c r="G28" s="12" t="n">
        <f aca="false">F28*C7</f>
        <v>25.937424601</v>
      </c>
      <c r="H28" s="11" t="n">
        <v>10</v>
      </c>
      <c r="I28" s="12" t="n">
        <f aca="false">J27</f>
        <v>4675.7583872</v>
      </c>
      <c r="J28" s="12" t="n">
        <f aca="false">I28*(1+D7)+D8</f>
        <v>5810.91006464</v>
      </c>
      <c r="K28" s="11" t="n">
        <v>10</v>
      </c>
      <c r="L28" s="12" t="n">
        <f aca="false">M27</f>
        <v>21337.5817771654</v>
      </c>
      <c r="M28" s="12" t="n">
        <f aca="false">L28*(1+E7)+E8</f>
        <v>29305.7353991733</v>
      </c>
    </row>
    <row r="29" customFormat="false" ht="15" hidden="false" customHeight="true" outlineLevel="0" collapsed="false">
      <c r="B29" s="11" t="n">
        <v>11</v>
      </c>
      <c r="C29" s="12" t="n">
        <f aca="false">F28</f>
        <v>259.37424601</v>
      </c>
      <c r="D29" s="12" t="n">
        <f aca="false">C29*C7</f>
        <v>25.937424601</v>
      </c>
      <c r="E29" s="12" t="n">
        <f aca="false">C8</f>
        <v>0</v>
      </c>
      <c r="F29" s="12" t="n">
        <f aca="false">C29+D29+E29</f>
        <v>285.311670611</v>
      </c>
      <c r="G29" s="12" t="n">
        <f aca="false">F29*C7</f>
        <v>28.5311670611</v>
      </c>
      <c r="H29" s="11" t="n">
        <v>11</v>
      </c>
      <c r="I29" s="12" t="n">
        <f aca="false">J28</f>
        <v>5810.91006464</v>
      </c>
      <c r="J29" s="12" t="n">
        <f aca="false">I29*(1+D7)+D8</f>
        <v>7173.092077568</v>
      </c>
      <c r="K29" s="11" t="n">
        <v>11</v>
      </c>
      <c r="L29" s="12" t="n">
        <f aca="false">M28</f>
        <v>29305.7353991733</v>
      </c>
      <c r="M29" s="12" t="n">
        <f aca="false">L29*(1+E7)+E8</f>
        <v>40062.742788884</v>
      </c>
    </row>
    <row r="30" customFormat="false" ht="15" hidden="false" customHeight="true" outlineLevel="0" collapsed="false">
      <c r="B30" s="11" t="n">
        <v>12</v>
      </c>
      <c r="C30" s="12" t="n">
        <f aca="false">F29</f>
        <v>285.311670611</v>
      </c>
      <c r="D30" s="12" t="n">
        <f aca="false">C30*C7</f>
        <v>28.5311670611</v>
      </c>
      <c r="E30" s="12" t="n">
        <f aca="false">C8</f>
        <v>0</v>
      </c>
      <c r="F30" s="12" t="n">
        <f aca="false">C30+D30+E30</f>
        <v>313.8428376721</v>
      </c>
      <c r="G30" s="12" t="n">
        <f aca="false">F30*C7</f>
        <v>31.38428376721</v>
      </c>
      <c r="H30" s="11" t="n">
        <v>12</v>
      </c>
      <c r="I30" s="12" t="n">
        <f aca="false">J29</f>
        <v>7173.092077568</v>
      </c>
      <c r="J30" s="12" t="n">
        <f aca="false">I30*(1+D7)+D8</f>
        <v>8807.7104930816</v>
      </c>
      <c r="K30" s="11" t="n">
        <v>12</v>
      </c>
      <c r="L30" s="12" t="n">
        <f aca="false">M29</f>
        <v>40062.742788884</v>
      </c>
      <c r="M30" s="12" t="n">
        <f aca="false">L30*(1+E7)+E8</f>
        <v>54584.7027649934</v>
      </c>
    </row>
    <row r="31" customFormat="false" ht="15" hidden="false" customHeight="true" outlineLevel="0" collapsed="false">
      <c r="B31" s="11" t="n">
        <v>13</v>
      </c>
      <c r="C31" s="12" t="n">
        <f aca="false">F30</f>
        <v>313.8428376721</v>
      </c>
      <c r="D31" s="12" t="n">
        <f aca="false">C31*C7</f>
        <v>31.38428376721</v>
      </c>
      <c r="E31" s="12" t="n">
        <f aca="false">C8</f>
        <v>0</v>
      </c>
      <c r="F31" s="12" t="n">
        <f aca="false">C31+D31+E31</f>
        <v>345.22712143931</v>
      </c>
      <c r="G31" s="12" t="n">
        <f aca="false">F31*C7</f>
        <v>34.522712143931</v>
      </c>
      <c r="H31" s="11" t="n">
        <v>13</v>
      </c>
      <c r="I31" s="12" t="n">
        <f aca="false">J30</f>
        <v>8807.7104930816</v>
      </c>
      <c r="J31" s="12" t="n">
        <f aca="false">I31*(1+D7)+D8</f>
        <v>10769.2525916979</v>
      </c>
      <c r="K31" s="11" t="n">
        <v>13</v>
      </c>
      <c r="L31" s="12" t="n">
        <f aca="false">M30</f>
        <v>54584.7027649934</v>
      </c>
      <c r="M31" s="12" t="n">
        <f aca="false">L31*(1+E7)+E8</f>
        <v>74189.3487327411</v>
      </c>
    </row>
    <row r="32" customFormat="false" ht="15" hidden="false" customHeight="true" outlineLevel="0" collapsed="false">
      <c r="B32" s="11" t="n">
        <v>14</v>
      </c>
      <c r="C32" s="12" t="n">
        <f aca="false">F31</f>
        <v>345.22712143931</v>
      </c>
      <c r="D32" s="12" t="n">
        <f aca="false">C32*C7</f>
        <v>34.522712143931</v>
      </c>
      <c r="E32" s="12" t="n">
        <f aca="false">C8</f>
        <v>0</v>
      </c>
      <c r="F32" s="12" t="n">
        <f aca="false">C32+D32+E32</f>
        <v>379.749833583241</v>
      </c>
      <c r="G32" s="12" t="n">
        <f aca="false">F32*C7</f>
        <v>37.9749833583241</v>
      </c>
      <c r="H32" s="11" t="n">
        <v>14</v>
      </c>
      <c r="I32" s="12" t="n">
        <f aca="false">J31</f>
        <v>10769.2525916979</v>
      </c>
      <c r="J32" s="12" t="n">
        <f aca="false">I32*(1+D7)+D8</f>
        <v>13123.1031100375</v>
      </c>
      <c r="K32" s="11" t="n">
        <v>14</v>
      </c>
      <c r="L32" s="12" t="n">
        <f aca="false">M31</f>
        <v>74189.3487327411</v>
      </c>
      <c r="M32" s="12" t="n">
        <f aca="false">L32*(1+E7)+E8</f>
        <v>100655.620789201</v>
      </c>
    </row>
    <row r="33" customFormat="false" ht="15" hidden="false" customHeight="true" outlineLevel="0" collapsed="false">
      <c r="B33" s="11" t="n">
        <v>15</v>
      </c>
      <c r="C33" s="12" t="n">
        <f aca="false">F32</f>
        <v>379.749833583241</v>
      </c>
      <c r="D33" s="12" t="n">
        <f aca="false">C33*C7</f>
        <v>37.9749833583241</v>
      </c>
      <c r="E33" s="12" t="n">
        <f aca="false">C8</f>
        <v>0</v>
      </c>
      <c r="F33" s="12" t="n">
        <f aca="false">C33+D33+E33</f>
        <v>417.724816941565</v>
      </c>
      <c r="G33" s="12" t="n">
        <f aca="false">F33*C7</f>
        <v>41.7724816941565</v>
      </c>
      <c r="H33" s="11" t="n">
        <v>15</v>
      </c>
      <c r="I33" s="12" t="n">
        <f aca="false">J32</f>
        <v>13123.1031100375</v>
      </c>
      <c r="J33" s="12" t="n">
        <f aca="false">I33*(1+D7)+D8</f>
        <v>15947.723732045</v>
      </c>
      <c r="K33" s="11" t="n">
        <v>15</v>
      </c>
      <c r="L33" s="12" t="n">
        <f aca="false">M32</f>
        <v>100655.620789201</v>
      </c>
      <c r="M33" s="12" t="n">
        <f aca="false">L33*(1+E7)+E8</f>
        <v>136385.088065421</v>
      </c>
    </row>
    <row r="34" customFormat="false" ht="15" hidden="false" customHeight="true" outlineLevel="0" collapsed="false">
      <c r="B34" s="11" t="n">
        <v>16</v>
      </c>
      <c r="C34" s="12" t="n">
        <f aca="false">F33</f>
        <v>417.724816941565</v>
      </c>
      <c r="D34" s="12" t="n">
        <f aca="false">C34*C7</f>
        <v>41.7724816941565</v>
      </c>
      <c r="E34" s="12" t="n">
        <f aca="false">C8</f>
        <v>0</v>
      </c>
      <c r="F34" s="12" t="n">
        <f aca="false">C34+D34+E34</f>
        <v>459.497298635722</v>
      </c>
      <c r="G34" s="12" t="n">
        <f aca="false">F34*C7</f>
        <v>45.9497298635722</v>
      </c>
      <c r="H34" s="11" t="n">
        <v>16</v>
      </c>
      <c r="I34" s="12" t="n">
        <f aca="false">J33</f>
        <v>15947.723732045</v>
      </c>
      <c r="J34" s="12" t="n">
        <f aca="false">I34*(1+D7)+D8</f>
        <v>19337.268478454</v>
      </c>
      <c r="K34" s="11" t="n">
        <v>16</v>
      </c>
      <c r="L34" s="12" t="n">
        <f aca="false">M33</f>
        <v>136385.088065421</v>
      </c>
      <c r="M34" s="12" t="n">
        <f aca="false">L34*(1+E7)+E8</f>
        <v>184619.868888318</v>
      </c>
    </row>
    <row r="35" customFormat="false" ht="15" hidden="false" customHeight="true" outlineLevel="0" collapsed="false">
      <c r="B35" s="11" t="n">
        <v>17</v>
      </c>
      <c r="C35" s="12" t="n">
        <f aca="false">F34</f>
        <v>459.497298635722</v>
      </c>
      <c r="D35" s="12" t="n">
        <f aca="false">C35*C7</f>
        <v>45.9497298635722</v>
      </c>
      <c r="E35" s="12" t="n">
        <f aca="false">C8</f>
        <v>0</v>
      </c>
      <c r="F35" s="12" t="n">
        <f aca="false">C35+D35+E35</f>
        <v>505.447028499294</v>
      </c>
      <c r="G35" s="12" t="n">
        <f aca="false">F35*C7</f>
        <v>50.5447028499294</v>
      </c>
      <c r="H35" s="11" t="n">
        <v>17</v>
      </c>
      <c r="I35" s="12" t="n">
        <f aca="false">J34</f>
        <v>19337.268478454</v>
      </c>
      <c r="J35" s="12" t="n">
        <f aca="false">I35*(1+D7)+D8</f>
        <v>23404.7221741448</v>
      </c>
      <c r="K35" s="11" t="n">
        <v>17</v>
      </c>
      <c r="L35" s="12" t="n">
        <f aca="false">M34</f>
        <v>184619.868888318</v>
      </c>
      <c r="M35" s="12" t="n">
        <f aca="false">L35*(1+E7)+E8</f>
        <v>249736.822999229</v>
      </c>
    </row>
    <row r="36" customFormat="false" ht="15" hidden="false" customHeight="true" outlineLevel="0" collapsed="false">
      <c r="B36" s="11" t="n">
        <v>18</v>
      </c>
      <c r="C36" s="12" t="n">
        <f aca="false">F35</f>
        <v>505.447028499294</v>
      </c>
      <c r="D36" s="12" t="n">
        <f aca="false">C36*C7</f>
        <v>50.5447028499294</v>
      </c>
      <c r="E36" s="12" t="n">
        <f aca="false">C8</f>
        <v>0</v>
      </c>
      <c r="F36" s="12" t="n">
        <f aca="false">C36+D36+E36</f>
        <v>555.991731349223</v>
      </c>
      <c r="G36" s="12" t="n">
        <f aca="false">F36*C7</f>
        <v>55.5991731349223</v>
      </c>
      <c r="H36" s="11" t="n">
        <v>18</v>
      </c>
      <c r="I36" s="12" t="n">
        <f aca="false">J35</f>
        <v>23404.7221741448</v>
      </c>
      <c r="J36" s="12" t="n">
        <f aca="false">I36*(1+D7)+D8</f>
        <v>28285.6666089738</v>
      </c>
      <c r="K36" s="11" t="n">
        <v>18</v>
      </c>
      <c r="L36" s="12" t="n">
        <f aca="false">M35</f>
        <v>249736.822999229</v>
      </c>
      <c r="M36" s="12" t="n">
        <f aca="false">L36*(1+E7)+E8</f>
        <v>337644.71104896</v>
      </c>
    </row>
    <row r="37" customFormat="false" ht="15" hidden="false" customHeight="true" outlineLevel="0" collapsed="false">
      <c r="B37" s="11" t="n">
        <v>19</v>
      </c>
      <c r="C37" s="12" t="n">
        <f aca="false">F36</f>
        <v>555.991731349223</v>
      </c>
      <c r="D37" s="12" t="n">
        <f aca="false">C37*C7</f>
        <v>55.5991731349223</v>
      </c>
      <c r="E37" s="12" t="n">
        <f aca="false">C8</f>
        <v>0</v>
      </c>
      <c r="F37" s="12" t="n">
        <f aca="false">C37+D37+E37</f>
        <v>611.590904484145</v>
      </c>
      <c r="G37" s="12" t="n">
        <f aca="false">F37*C7</f>
        <v>61.1590904484145</v>
      </c>
      <c r="H37" s="11" t="n">
        <v>19</v>
      </c>
      <c r="I37" s="12" t="n">
        <f aca="false">J36</f>
        <v>28285.6666089738</v>
      </c>
      <c r="J37" s="12" t="n">
        <f aca="false">I37*(1+D7)+D8</f>
        <v>34142.7999307685</v>
      </c>
      <c r="K37" s="11" t="n">
        <v>19</v>
      </c>
      <c r="L37" s="12" t="n">
        <f aca="false">M36</f>
        <v>337644.71104896</v>
      </c>
      <c r="M37" s="12" t="n">
        <f aca="false">L37*(1+E7)+E8</f>
        <v>456320.359916096</v>
      </c>
    </row>
    <row r="38" customFormat="false" ht="15" hidden="false" customHeight="true" outlineLevel="0" collapsed="false">
      <c r="B38" s="11" t="n">
        <v>20</v>
      </c>
      <c r="C38" s="12" t="n">
        <f aca="false">F37</f>
        <v>611.590904484145</v>
      </c>
      <c r="D38" s="12" t="n">
        <f aca="false">C38*C7</f>
        <v>61.1590904484145</v>
      </c>
      <c r="E38" s="12" t="n">
        <f aca="false">C8</f>
        <v>0</v>
      </c>
      <c r="F38" s="12" t="n">
        <f aca="false">C38+D38+E38</f>
        <v>672.74999493256</v>
      </c>
      <c r="G38" s="12" t="n">
        <f aca="false">F38*C7</f>
        <v>67.274999493256</v>
      </c>
      <c r="H38" s="11" t="n">
        <v>20</v>
      </c>
      <c r="I38" s="12" t="n">
        <f aca="false">J37</f>
        <v>34142.7999307685</v>
      </c>
      <c r="J38" s="12" t="n">
        <f aca="false">I38*(1+D7)+D8</f>
        <v>41171.3599169222</v>
      </c>
      <c r="K38" s="11" t="n">
        <v>20</v>
      </c>
      <c r="L38" s="12" t="n">
        <f aca="false">M37</f>
        <v>456320.359916096</v>
      </c>
      <c r="M38" s="12" t="n">
        <f aca="false">L38*(1+E7)+E8</f>
        <v>616532.485886729</v>
      </c>
    </row>
    <row r="39" customFormat="false" ht="15" hidden="false" customHeight="true" outlineLevel="0" collapsed="false">
      <c r="B39" s="11" t="n">
        <v>21</v>
      </c>
      <c r="C39" s="12" t="n">
        <f aca="false">F38</f>
        <v>672.74999493256</v>
      </c>
      <c r="D39" s="12" t="n">
        <f aca="false">C39*C7</f>
        <v>67.274999493256</v>
      </c>
      <c r="E39" s="12" t="n">
        <f aca="false">C8</f>
        <v>0</v>
      </c>
      <c r="F39" s="12" t="n">
        <f aca="false">C39+D39+E39</f>
        <v>740.024994425816</v>
      </c>
      <c r="G39" s="12" t="n">
        <f aca="false">F39*C7</f>
        <v>74.0024994425816</v>
      </c>
      <c r="H39" s="11" t="n">
        <v>21</v>
      </c>
      <c r="I39" s="12" t="n">
        <f aca="false">J38</f>
        <v>41171.3599169222</v>
      </c>
      <c r="J39" s="12" t="n">
        <f aca="false">I39*(1+D7)+D8</f>
        <v>49605.6319003066</v>
      </c>
      <c r="K39" s="11" t="n">
        <v>21</v>
      </c>
      <c r="L39" s="12" t="n">
        <f aca="false">M38</f>
        <v>616532.485886729</v>
      </c>
      <c r="M39" s="12" t="n">
        <f aca="false">L39*(1+E7)+E8</f>
        <v>832818.855947084</v>
      </c>
    </row>
    <row r="40" customFormat="false" ht="15" hidden="false" customHeight="true" outlineLevel="0" collapsed="false">
      <c r="B40" s="11" t="n">
        <v>22</v>
      </c>
      <c r="C40" s="12" t="n">
        <f aca="false">F39</f>
        <v>740.024994425816</v>
      </c>
      <c r="D40" s="12" t="n">
        <f aca="false">C40*C7</f>
        <v>74.0024994425816</v>
      </c>
      <c r="E40" s="12" t="n">
        <f aca="false">C8</f>
        <v>0</v>
      </c>
      <c r="F40" s="12" t="n">
        <f aca="false">C40+D40+E40</f>
        <v>814.027493868398</v>
      </c>
      <c r="G40" s="12" t="n">
        <f aca="false">F40*C7</f>
        <v>81.4027493868398</v>
      </c>
      <c r="H40" s="11" t="n">
        <v>22</v>
      </c>
      <c r="I40" s="12" t="n">
        <f aca="false">J39</f>
        <v>49605.6319003066</v>
      </c>
      <c r="J40" s="12" t="n">
        <f aca="false">I40*(1+D7)+D8</f>
        <v>59726.758280368</v>
      </c>
      <c r="K40" s="11" t="n">
        <v>22</v>
      </c>
      <c r="L40" s="12" t="n">
        <f aca="false">M39</f>
        <v>832818.855947084</v>
      </c>
      <c r="M40" s="12" t="n">
        <f aca="false">L40*(1+E7)+E8</f>
        <v>1124805.45552856</v>
      </c>
    </row>
    <row r="41" customFormat="false" ht="15" hidden="false" customHeight="true" outlineLevel="0" collapsed="false">
      <c r="B41" s="11" t="n">
        <v>23</v>
      </c>
      <c r="C41" s="12" t="n">
        <f aca="false">F40</f>
        <v>814.027493868398</v>
      </c>
      <c r="D41" s="12" t="n">
        <f aca="false">C41*C7</f>
        <v>81.4027493868398</v>
      </c>
      <c r="E41" s="12" t="n">
        <f aca="false">C8</f>
        <v>0</v>
      </c>
      <c r="F41" s="12" t="n">
        <f aca="false">C41+D41+E41</f>
        <v>895.430243255237</v>
      </c>
      <c r="G41" s="12" t="n">
        <f aca="false">F41*C7</f>
        <v>89.5430243255237</v>
      </c>
      <c r="H41" s="11" t="n">
        <v>23</v>
      </c>
      <c r="I41" s="12" t="n">
        <f aca="false">J40</f>
        <v>59726.758280368</v>
      </c>
      <c r="J41" s="12" t="n">
        <f aca="false">I41*(1+D7)+D8</f>
        <v>71872.1099364416</v>
      </c>
      <c r="K41" s="11" t="n">
        <v>23</v>
      </c>
      <c r="L41" s="12" t="n">
        <f aca="false">M40</f>
        <v>1124805.45552856</v>
      </c>
      <c r="M41" s="12" t="n">
        <f aca="false">L41*(1+E7)+E8</f>
        <v>1518987.36496356</v>
      </c>
    </row>
    <row r="42" customFormat="false" ht="15" hidden="false" customHeight="true" outlineLevel="0" collapsed="false">
      <c r="B42" s="11" t="n">
        <v>24</v>
      </c>
      <c r="C42" s="12" t="n">
        <f aca="false">F41</f>
        <v>895.430243255237</v>
      </c>
      <c r="D42" s="12" t="n">
        <f aca="false">C42*C7</f>
        <v>89.5430243255237</v>
      </c>
      <c r="E42" s="12" t="n">
        <f aca="false">C8</f>
        <v>0</v>
      </c>
      <c r="F42" s="12" t="n">
        <f aca="false">C42+D42+E42</f>
        <v>984.973267580761</v>
      </c>
      <c r="G42" s="12" t="n">
        <f aca="false">F42*C7</f>
        <v>98.4973267580761</v>
      </c>
      <c r="H42" s="11" t="n">
        <v>24</v>
      </c>
      <c r="I42" s="12" t="n">
        <f aca="false">J41</f>
        <v>71872.1099364416</v>
      </c>
      <c r="J42" s="12" t="n">
        <f aca="false">I42*(1+D7)+D8</f>
        <v>86446.5319237299</v>
      </c>
      <c r="K42" s="11" t="n">
        <v>24</v>
      </c>
      <c r="L42" s="12" t="n">
        <f aca="false">M41</f>
        <v>1518987.36496356</v>
      </c>
      <c r="M42" s="12" t="n">
        <f aca="false">L42*(1+E7)+E8</f>
        <v>2051132.94270081</v>
      </c>
    </row>
    <row r="43" customFormat="false" ht="15" hidden="false" customHeight="true" outlineLevel="0" collapsed="false">
      <c r="B43" s="11" t="n">
        <v>25</v>
      </c>
      <c r="C43" s="12" t="n">
        <f aca="false">F42</f>
        <v>984.973267580761</v>
      </c>
      <c r="D43" s="12" t="n">
        <f aca="false">C43*C7</f>
        <v>98.4973267580761</v>
      </c>
      <c r="E43" s="12" t="n">
        <f aca="false">C8</f>
        <v>0</v>
      </c>
      <c r="F43" s="12" t="n">
        <f aca="false">C43+D43+E43</f>
        <v>1083.47059433884</v>
      </c>
      <c r="G43" s="12" t="n">
        <f aca="false">F43*C7</f>
        <v>108.347059433884</v>
      </c>
      <c r="H43" s="11" t="n">
        <v>25</v>
      </c>
      <c r="I43" s="12" t="n">
        <f aca="false">J42</f>
        <v>86446.5319237299</v>
      </c>
      <c r="J43" s="12" t="n">
        <f aca="false">I43*(1+D7)+D8</f>
        <v>103935.838308476</v>
      </c>
      <c r="K43" s="11" t="n">
        <v>25</v>
      </c>
      <c r="L43" s="12" t="n">
        <f aca="false">M42</f>
        <v>2051132.94270081</v>
      </c>
      <c r="M43" s="12" t="n">
        <f aca="false">L43*(1+E7)+E8</f>
        <v>2769529.47264609</v>
      </c>
    </row>
    <row r="44" customFormat="false" ht="15" hidden="false" customHeight="true" outlineLevel="0" collapsed="false">
      <c r="B44" s="11" t="n">
        <v>26</v>
      </c>
      <c r="C44" s="12" t="n">
        <f aca="false">F43</f>
        <v>1083.47059433884</v>
      </c>
      <c r="D44" s="12" t="n">
        <f aca="false">C44*C7</f>
        <v>108.347059433884</v>
      </c>
      <c r="E44" s="12" t="n">
        <f aca="false">C8</f>
        <v>0</v>
      </c>
      <c r="F44" s="12" t="n">
        <f aca="false">C44+D44+E44</f>
        <v>1191.81765377272</v>
      </c>
      <c r="G44" s="12" t="n">
        <f aca="false">F44*C7</f>
        <v>119.181765377272</v>
      </c>
      <c r="H44" s="11" t="n">
        <v>26</v>
      </c>
      <c r="I44" s="12" t="n">
        <f aca="false">J43</f>
        <v>103935.838308476</v>
      </c>
      <c r="J44" s="12" t="n">
        <f aca="false">I44*(1+D7)+D8</f>
        <v>124923.005970171</v>
      </c>
      <c r="K44" s="11" t="n">
        <v>26</v>
      </c>
      <c r="L44" s="12" t="n">
        <f aca="false">M43</f>
        <v>2769529.47264609</v>
      </c>
      <c r="M44" s="12" t="n">
        <f aca="false">L44*(1+E7)+E8</f>
        <v>3739364.78807222</v>
      </c>
    </row>
    <row r="45" customFormat="false" ht="15" hidden="false" customHeight="true" outlineLevel="0" collapsed="false">
      <c r="B45" s="11" t="n">
        <v>27</v>
      </c>
      <c r="C45" s="12" t="n">
        <f aca="false">F44</f>
        <v>1191.81765377272</v>
      </c>
      <c r="D45" s="12" t="n">
        <f aca="false">C45*C7</f>
        <v>119.181765377272</v>
      </c>
      <c r="E45" s="12" t="n">
        <f aca="false">C8</f>
        <v>0</v>
      </c>
      <c r="F45" s="12" t="n">
        <f aca="false">C45+D45+E45</f>
        <v>1310.99941914999</v>
      </c>
      <c r="G45" s="12" t="n">
        <f aca="false">F45*C7</f>
        <v>131.099941914999</v>
      </c>
      <c r="H45" s="11" t="n">
        <v>27</v>
      </c>
      <c r="I45" s="12" t="n">
        <f aca="false">J44</f>
        <v>124923.005970171</v>
      </c>
      <c r="J45" s="12" t="n">
        <f aca="false">I45*(1+D7)+D8</f>
        <v>150107.607164205</v>
      </c>
      <c r="K45" s="11" t="n">
        <v>27</v>
      </c>
      <c r="L45" s="12" t="n">
        <f aca="false">M44</f>
        <v>3739364.78807222</v>
      </c>
      <c r="M45" s="12" t="n">
        <f aca="false">L45*(1+E7)+E8</f>
        <v>5048642.4638975</v>
      </c>
    </row>
    <row r="46" customFormat="false" ht="15" hidden="false" customHeight="true" outlineLevel="0" collapsed="false">
      <c r="B46" s="11" t="n">
        <v>28</v>
      </c>
      <c r="C46" s="12" t="n">
        <f aca="false">F45</f>
        <v>1310.99941914999</v>
      </c>
      <c r="D46" s="12" t="n">
        <f aca="false">C46*C7</f>
        <v>131.099941914999</v>
      </c>
      <c r="E46" s="12" t="n">
        <f aca="false">C8</f>
        <v>0</v>
      </c>
      <c r="F46" s="12" t="n">
        <f aca="false">C46+D46+E46</f>
        <v>1442.09936106499</v>
      </c>
      <c r="G46" s="12" t="n">
        <f aca="false">F46*C7</f>
        <v>144.209936106499</v>
      </c>
      <c r="H46" s="11" t="n">
        <v>28</v>
      </c>
      <c r="I46" s="12" t="n">
        <f aca="false">J45</f>
        <v>150107.607164205</v>
      </c>
      <c r="J46" s="12" t="n">
        <f aca="false">I46*(1+D7)+D8</f>
        <v>180329.128597046</v>
      </c>
      <c r="K46" s="11" t="n">
        <v>28</v>
      </c>
      <c r="L46" s="12" t="n">
        <f aca="false">M45</f>
        <v>5048642.4638975</v>
      </c>
      <c r="M46" s="12" t="n">
        <f aca="false">L46*(1+E7)+E8</f>
        <v>6816167.32626163</v>
      </c>
    </row>
    <row r="47" customFormat="false" ht="15" hidden="false" customHeight="true" outlineLevel="0" collapsed="false">
      <c r="B47" s="11" t="n">
        <v>29</v>
      </c>
      <c r="C47" s="12" t="n">
        <f aca="false">F46</f>
        <v>1442.09936106499</v>
      </c>
      <c r="D47" s="12" t="n">
        <f aca="false">C47*C7</f>
        <v>144.209936106499</v>
      </c>
      <c r="E47" s="12" t="n">
        <f aca="false">C8</f>
        <v>0</v>
      </c>
      <c r="F47" s="12" t="n">
        <f aca="false">C47+D47+E47</f>
        <v>1586.30929717149</v>
      </c>
      <c r="G47" s="12" t="n">
        <f aca="false">F47*C7</f>
        <v>158.630929717149</v>
      </c>
      <c r="H47" s="11" t="n">
        <v>29</v>
      </c>
      <c r="I47" s="12" t="n">
        <f aca="false">J46</f>
        <v>180329.128597046</v>
      </c>
      <c r="J47" s="12" t="n">
        <f aca="false">I47*(1+D7)+D8</f>
        <v>216594.954316455</v>
      </c>
      <c r="K47" s="11" t="n">
        <v>29</v>
      </c>
      <c r="L47" s="12" t="n">
        <f aca="false">M46</f>
        <v>6816167.32626163</v>
      </c>
      <c r="M47" s="12" t="n">
        <f aca="false">L47*(1+E7)+E8</f>
        <v>9202325.8904532</v>
      </c>
    </row>
    <row r="48" customFormat="false" ht="15" hidden="false" customHeight="true" outlineLevel="0" collapsed="false">
      <c r="B48" s="11" t="n">
        <v>30</v>
      </c>
      <c r="C48" s="12" t="n">
        <f aca="false">F47</f>
        <v>1586.30929717149</v>
      </c>
      <c r="D48" s="12" t="n">
        <f aca="false">C48*C7</f>
        <v>158.630929717149</v>
      </c>
      <c r="E48" s="12" t="n">
        <f aca="false">C8</f>
        <v>0</v>
      </c>
      <c r="F48" s="12" t="n">
        <f aca="false">C48+D48+E48</f>
        <v>1744.94022688864</v>
      </c>
      <c r="G48" s="12" t="n">
        <f aca="false">F48*C7</f>
        <v>174.494022688864</v>
      </c>
      <c r="H48" s="11" t="n">
        <v>30</v>
      </c>
      <c r="I48" s="12" t="n">
        <f aca="false">J47</f>
        <v>216594.954316455</v>
      </c>
      <c r="J48" s="12" t="n">
        <f aca="false">I48*(1+D7)+D8</f>
        <v>260113.945179747</v>
      </c>
      <c r="K48" s="11" t="n">
        <v>30</v>
      </c>
      <c r="L48" s="12" t="n">
        <f aca="false">M47</f>
        <v>9202325.8904532</v>
      </c>
      <c r="M48" s="12" t="n">
        <f aca="false">L48*(1+E7)+E8</f>
        <v>12423639.9521118</v>
      </c>
    </row>
    <row r="49" customFormat="false" ht="15" hidden="false" customHeight="true" outlineLevel="0" collapsed="false">
      <c r="B49" s="11" t="n">
        <v>31</v>
      </c>
      <c r="C49" s="12" t="n">
        <f aca="false">F48</f>
        <v>1744.94022688864</v>
      </c>
      <c r="D49" s="12" t="n">
        <f aca="false">C49*C7</f>
        <v>174.494022688864</v>
      </c>
      <c r="E49" s="12" t="n">
        <f aca="false">C8</f>
        <v>0</v>
      </c>
      <c r="F49" s="12" t="n">
        <f aca="false">C49+D49+E49</f>
        <v>1919.43424957751</v>
      </c>
      <c r="G49" s="12" t="n">
        <f aca="false">F49*C7</f>
        <v>191.943424957751</v>
      </c>
      <c r="H49" s="11" t="n">
        <v>31</v>
      </c>
      <c r="I49" s="12" t="n">
        <f aca="false">J48</f>
        <v>260113.945179747</v>
      </c>
      <c r="J49" s="12" t="n">
        <f aca="false">I49*(1+D7)+D8</f>
        <v>312336.734215696</v>
      </c>
      <c r="K49" s="11" t="n">
        <v>31</v>
      </c>
      <c r="L49" s="12" t="n">
        <f aca="false">M48</f>
        <v>12423639.9521118</v>
      </c>
      <c r="M49" s="12" t="n">
        <f aca="false">L49*(1+E7)+E8</f>
        <v>16772413.935351</v>
      </c>
    </row>
    <row r="50" customFormat="false" ht="15" hidden="false" customHeight="true" outlineLevel="0" collapsed="false">
      <c r="B50" s="11" t="n">
        <v>32</v>
      </c>
      <c r="C50" s="12" t="n">
        <f aca="false">F49</f>
        <v>1919.43424957751</v>
      </c>
      <c r="D50" s="12" t="n">
        <f aca="false">C50*C7</f>
        <v>191.943424957751</v>
      </c>
      <c r="E50" s="12" t="n">
        <f aca="false">C8</f>
        <v>0</v>
      </c>
      <c r="F50" s="12" t="n">
        <f aca="false">C50+D50+E50</f>
        <v>2111.37767453526</v>
      </c>
      <c r="G50" s="12" t="n">
        <f aca="false">F50*C7</f>
        <v>211.137767453526</v>
      </c>
      <c r="H50" s="11" t="n">
        <v>32</v>
      </c>
      <c r="I50" s="12" t="n">
        <f aca="false">J49</f>
        <v>312336.734215696</v>
      </c>
      <c r="J50" s="12" t="n">
        <f aca="false">I50*(1+D7)+D8</f>
        <v>375004.081058835</v>
      </c>
      <c r="K50" s="11" t="n">
        <v>32</v>
      </c>
      <c r="L50" s="12" t="n">
        <f aca="false">M49</f>
        <v>16772413.935351</v>
      </c>
      <c r="M50" s="12" t="n">
        <f aca="false">L50*(1+E7)+E8</f>
        <v>22643258.8127238</v>
      </c>
    </row>
    <row r="51" customFormat="false" ht="15" hidden="false" customHeight="true" outlineLevel="0" collapsed="false">
      <c r="B51" s="11" t="n">
        <v>33</v>
      </c>
      <c r="C51" s="12" t="n">
        <f aca="false">F50</f>
        <v>2111.37767453526</v>
      </c>
      <c r="D51" s="12" t="n">
        <f aca="false">C51*C7</f>
        <v>211.137767453526</v>
      </c>
      <c r="E51" s="12" t="n">
        <f aca="false">C8</f>
        <v>0</v>
      </c>
      <c r="F51" s="12" t="n">
        <f aca="false">C51+D51+E51</f>
        <v>2322.51544198878</v>
      </c>
      <c r="G51" s="12" t="n">
        <f aca="false">F51*C7</f>
        <v>232.251544198878</v>
      </c>
      <c r="H51" s="11" t="n">
        <v>33</v>
      </c>
      <c r="I51" s="12" t="n">
        <f aca="false">J50</f>
        <v>375004.081058835</v>
      </c>
      <c r="J51" s="12" t="n">
        <f aca="false">I51*(1+D7)+D8</f>
        <v>450204.897270602</v>
      </c>
      <c r="K51" s="11" t="n">
        <v>33</v>
      </c>
      <c r="L51" s="12" t="n">
        <f aca="false">M50</f>
        <v>22643258.8127238</v>
      </c>
      <c r="M51" s="12" t="n">
        <f aca="false">L51*(1+E7)+E8</f>
        <v>30568899.3971771</v>
      </c>
    </row>
    <row r="52" customFormat="false" ht="15" hidden="false" customHeight="true" outlineLevel="0" collapsed="false">
      <c r="B52" s="11" t="n">
        <v>34</v>
      </c>
      <c r="C52" s="12" t="n">
        <f aca="false">F51</f>
        <v>2322.51544198878</v>
      </c>
      <c r="D52" s="12" t="n">
        <f aca="false">C52*C7</f>
        <v>232.251544198878</v>
      </c>
      <c r="E52" s="12" t="n">
        <f aca="false">C8</f>
        <v>0</v>
      </c>
      <c r="F52" s="12" t="n">
        <f aca="false">C52+D52+E52</f>
        <v>2554.76698618766</v>
      </c>
      <c r="G52" s="12" t="n">
        <f aca="false">F52*C7</f>
        <v>255.476698618766</v>
      </c>
      <c r="H52" s="11" t="n">
        <v>34</v>
      </c>
      <c r="I52" s="12" t="n">
        <f aca="false">J51</f>
        <v>450204.897270602</v>
      </c>
      <c r="J52" s="12" t="n">
        <f aca="false">I52*(1+D7)+D8</f>
        <v>540445.876724722</v>
      </c>
      <c r="K52" s="11" t="n">
        <v>34</v>
      </c>
      <c r="L52" s="12" t="n">
        <f aca="false">M51</f>
        <v>30568899.3971771</v>
      </c>
      <c r="M52" s="12" t="n">
        <f aca="false">L52*(1+E7)+E8</f>
        <v>41268514.1861891</v>
      </c>
    </row>
    <row r="53" customFormat="false" ht="15" hidden="false" customHeight="true" outlineLevel="0" collapsed="false">
      <c r="B53" s="11" t="n">
        <v>35</v>
      </c>
      <c r="C53" s="12" t="n">
        <f aca="false">F52</f>
        <v>2554.76698618766</v>
      </c>
      <c r="D53" s="12" t="n">
        <f aca="false">C53*C7</f>
        <v>255.476698618766</v>
      </c>
      <c r="E53" s="12" t="n">
        <f aca="false">C8</f>
        <v>0</v>
      </c>
      <c r="F53" s="12" t="n">
        <f aca="false">C53+D53+E53</f>
        <v>2810.24368480643</v>
      </c>
      <c r="G53" s="12" t="n">
        <f aca="false">F53*C7</f>
        <v>281.024368480643</v>
      </c>
      <c r="H53" s="11" t="n">
        <v>35</v>
      </c>
      <c r="I53" s="12" t="n">
        <f aca="false">J52</f>
        <v>540445.876724722</v>
      </c>
      <c r="J53" s="12" t="n">
        <f aca="false">I53*(1+D7)+D8</f>
        <v>648735.052069667</v>
      </c>
      <c r="K53" s="11" t="n">
        <v>35</v>
      </c>
      <c r="L53" s="12" t="n">
        <f aca="false">M52</f>
        <v>41268514.1861891</v>
      </c>
      <c r="M53" s="12" t="n">
        <f aca="false">L53*(1+E7)+E8</f>
        <v>55712994.1513553</v>
      </c>
    </row>
    <row r="54" customFormat="false" ht="15" hidden="false" customHeight="true" outlineLevel="0" collapsed="false">
      <c r="B54" s="11" t="n">
        <v>36</v>
      </c>
      <c r="C54" s="12" t="n">
        <f aca="false">F53</f>
        <v>2810.24368480643</v>
      </c>
      <c r="D54" s="12" t="n">
        <f aca="false">C54*C7</f>
        <v>281.024368480643</v>
      </c>
      <c r="E54" s="12" t="n">
        <f aca="false">C8</f>
        <v>0</v>
      </c>
      <c r="F54" s="12" t="n">
        <f aca="false">C54+D54+E54</f>
        <v>3091.26805328707</v>
      </c>
      <c r="G54" s="12" t="n">
        <f aca="false">F54*C7</f>
        <v>309.126805328707</v>
      </c>
      <c r="H54" s="11" t="n">
        <v>36</v>
      </c>
      <c r="I54" s="12" t="n">
        <f aca="false">J53</f>
        <v>648735.052069667</v>
      </c>
      <c r="J54" s="12" t="n">
        <f aca="false">I54*(1+D7)+D8</f>
        <v>778682.0624836</v>
      </c>
      <c r="K54" s="11" t="n">
        <v>36</v>
      </c>
      <c r="L54" s="12" t="n">
        <f aca="false">M53</f>
        <v>55712994.1513553</v>
      </c>
      <c r="M54" s="12" t="n">
        <f aca="false">L54*(1+E7)+E8</f>
        <v>75213042.1043297</v>
      </c>
    </row>
    <row r="56" customFormat="false" ht="15" hidden="false" customHeight="true" outlineLevel="0" collapsed="false">
      <c r="B56" s="13" t="s">
        <v>23</v>
      </c>
      <c r="C56" s="11"/>
    </row>
    <row r="57" customFormat="false" ht="15" hidden="false" customHeight="true" outlineLevel="0" collapsed="false">
      <c r="B57" s="13" t="s">
        <v>24</v>
      </c>
      <c r="C57" s="11" t="str">
        <f aca="false">IFERROR(MATCH(TRUE(),INDEX(G19:G54&gt;=C13,0),0),"36+ months")</f>
        <v>36+ months</v>
      </c>
    </row>
    <row r="58" customFormat="false" ht="15" hidden="false" customHeight="true" outlineLevel="0" collapsed="false">
      <c r="B58" s="13" t="s">
        <v>25</v>
      </c>
      <c r="C58" s="11" t="n">
        <f aca="false">IFERROR(MATCH(TRUE(),INDEX((J19:J54*D7)&gt;=D13,0),0),"36+ months")</f>
        <v>34</v>
      </c>
    </row>
    <row r="59" customFormat="false" ht="15" hidden="false" customHeight="true" outlineLevel="0" collapsed="false">
      <c r="B59" s="13" t="s">
        <v>26</v>
      </c>
      <c r="C59" s="11" t="n">
        <f aca="false">IFERROR(MATCH(TRUE(),INDEX((M19:M54*E7)&gt;=E13,0),0),"36+ months")</f>
        <v>18</v>
      </c>
    </row>
    <row r="62" customFormat="false" ht="15" hidden="false" customHeight="true" outlineLevel="0" collapsed="false">
      <c r="B62" s="4" t="s">
        <v>27</v>
      </c>
    </row>
    <row r="63" customFormat="false" ht="15" hidden="false" customHeight="true" outlineLevel="0" collapsed="false">
      <c r="B63" s="14" t="s">
        <v>28</v>
      </c>
    </row>
    <row r="64" customFormat="false" ht="15" hidden="false" customHeight="true" outlineLevel="0" collapsed="false">
      <c r="B64" s="14" t="s">
        <v>29</v>
      </c>
    </row>
    <row r="65" customFormat="false" ht="15" hidden="false" customHeight="true" outlineLevel="0" collapsed="false">
      <c r="B65" s="14" t="s">
        <v>30</v>
      </c>
    </row>
    <row r="66" customFormat="false" ht="15" hidden="false" customHeight="true" outlineLevel="0" collapsed="false">
      <c r="B66" s="14" t="s">
        <v>31</v>
      </c>
    </row>
    <row r="67" customFormat="false" ht="15" hidden="false" customHeight="true" outlineLevel="0" collapsed="false">
      <c r="B67" s="14" t="s">
        <v>32</v>
      </c>
    </row>
    <row r="68" customFormat="false" ht="15" hidden="false" customHeight="true" outlineLevel="0" collapsed="false">
      <c r="B68" s="14" t="s">
        <v>33</v>
      </c>
    </row>
    <row r="69" customFormat="false" ht="15" hidden="false" customHeight="true" outlineLevel="0" collapsed="false">
      <c r="B69" s="14" t="s">
        <v>34</v>
      </c>
    </row>
    <row r="70" customFormat="false" ht="15" hidden="false" customHeight="true" outlineLevel="0" collapsed="false">
      <c r="B70" s="1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B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30"/>
    <col collapsed="false" customWidth="true" hidden="false" outlineLevel="0" max="5" min="5" style="1" width="45"/>
    <col collapsed="false" customWidth="true" hidden="false" outlineLevel="0" max="8" min="6" style="1" width="15"/>
    <col collapsed="false" customWidth="true" hidden="false" outlineLevel="0" max="9" min="9" style="1" width="40"/>
    <col collapsed="false" customWidth="true" hidden="false" outlineLevel="0" max="10" min="10" style="1" width="15"/>
  </cols>
  <sheetData>
    <row r="1" customFormat="false" ht="17.25" hidden="false" customHeight="true" outlineLevel="0" collapsed="false">
      <c r="B1" s="2" t="s">
        <v>36</v>
      </c>
    </row>
    <row r="3" customFormat="false" ht="15" hidden="false" customHeight="true" outlineLevel="0" collapsed="false"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</row>
    <row r="4" customFormat="false" ht="23.25" hidden="false" customHeight="true" outlineLevel="0" collapsed="false">
      <c r="B4" s="11" t="n">
        <v>1</v>
      </c>
      <c r="C4" s="11" t="s">
        <v>46</v>
      </c>
      <c r="D4" s="11" t="s">
        <v>47</v>
      </c>
      <c r="E4" s="15" t="s">
        <v>48</v>
      </c>
      <c r="F4" s="15" t="s">
        <v>49</v>
      </c>
      <c r="G4" s="11" t="s">
        <v>50</v>
      </c>
      <c r="H4" s="11" t="s">
        <v>51</v>
      </c>
      <c r="I4" s="15" t="s">
        <v>52</v>
      </c>
      <c r="J4" s="16" t="s">
        <v>53</v>
      </c>
    </row>
    <row r="5" customFormat="false" ht="23.25" hidden="false" customHeight="true" outlineLevel="0" collapsed="false">
      <c r="B5" s="11" t="n">
        <v>2</v>
      </c>
      <c r="C5" s="11" t="s">
        <v>46</v>
      </c>
      <c r="D5" s="11" t="s">
        <v>54</v>
      </c>
      <c r="E5" s="15" t="s">
        <v>55</v>
      </c>
      <c r="F5" s="15" t="s">
        <v>56</v>
      </c>
      <c r="G5" s="11" t="s">
        <v>57</v>
      </c>
      <c r="H5" s="11" t="s">
        <v>58</v>
      </c>
      <c r="I5" s="15" t="s">
        <v>59</v>
      </c>
      <c r="J5" s="17" t="s">
        <v>60</v>
      </c>
    </row>
    <row r="6" customFormat="false" ht="23.25" hidden="false" customHeight="true" outlineLevel="0" collapsed="false">
      <c r="B6" s="11" t="n">
        <v>3</v>
      </c>
      <c r="C6" s="11" t="s">
        <v>46</v>
      </c>
      <c r="D6" s="11" t="s">
        <v>61</v>
      </c>
      <c r="E6" s="15" t="s">
        <v>62</v>
      </c>
      <c r="F6" s="15" t="s">
        <v>63</v>
      </c>
      <c r="G6" s="11" t="s">
        <v>64</v>
      </c>
      <c r="H6" s="11" t="s">
        <v>65</v>
      </c>
      <c r="I6" s="15" t="s">
        <v>66</v>
      </c>
      <c r="J6" s="17" t="s">
        <v>60</v>
      </c>
    </row>
    <row r="7" customFormat="false" ht="23.25" hidden="false" customHeight="true" outlineLevel="0" collapsed="false">
      <c r="B7" s="11" t="n">
        <v>4</v>
      </c>
      <c r="C7" s="11" t="s">
        <v>46</v>
      </c>
      <c r="D7" s="11" t="s">
        <v>67</v>
      </c>
      <c r="E7" s="15" t="s">
        <v>68</v>
      </c>
      <c r="F7" s="15" t="s">
        <v>69</v>
      </c>
      <c r="G7" s="11" t="s">
        <v>70</v>
      </c>
      <c r="H7" s="11" t="s">
        <v>71</v>
      </c>
      <c r="I7" s="15" t="s">
        <v>72</v>
      </c>
      <c r="J7" s="11" t="s">
        <v>73</v>
      </c>
    </row>
    <row r="8" customFormat="false" ht="23.25" hidden="false" customHeight="true" outlineLevel="0" collapsed="false">
      <c r="B8" s="11" t="n">
        <v>5</v>
      </c>
      <c r="C8" s="11" t="s">
        <v>46</v>
      </c>
      <c r="D8" s="11" t="s">
        <v>74</v>
      </c>
      <c r="E8" s="15" t="s">
        <v>75</v>
      </c>
      <c r="F8" s="15" t="s">
        <v>76</v>
      </c>
      <c r="G8" s="11" t="s">
        <v>77</v>
      </c>
      <c r="H8" s="11" t="s">
        <v>78</v>
      </c>
      <c r="I8" s="15" t="s">
        <v>79</v>
      </c>
      <c r="J8" s="17" t="s">
        <v>60</v>
      </c>
    </row>
    <row r="9" customFormat="false" ht="23.25" hidden="false" customHeight="true" outlineLevel="0" collapsed="false">
      <c r="B9" s="11" t="n">
        <v>6</v>
      </c>
      <c r="C9" s="11" t="s">
        <v>46</v>
      </c>
      <c r="D9" s="11" t="s">
        <v>80</v>
      </c>
      <c r="E9" s="15" t="s">
        <v>81</v>
      </c>
      <c r="F9" s="15" t="s">
        <v>82</v>
      </c>
      <c r="G9" s="11" t="s">
        <v>83</v>
      </c>
      <c r="H9" s="11" t="s">
        <v>84</v>
      </c>
      <c r="I9" s="15" t="s">
        <v>85</v>
      </c>
      <c r="J9" s="17" t="s">
        <v>60</v>
      </c>
    </row>
    <row r="10" customFormat="false" ht="23.25" hidden="false" customHeight="true" outlineLevel="0" collapsed="false">
      <c r="B10" s="11" t="n">
        <v>7</v>
      </c>
      <c r="C10" s="11" t="s">
        <v>46</v>
      </c>
      <c r="D10" s="11" t="s">
        <v>86</v>
      </c>
      <c r="E10" s="15" t="s">
        <v>87</v>
      </c>
      <c r="F10" s="15" t="s">
        <v>88</v>
      </c>
      <c r="G10" s="11" t="s">
        <v>89</v>
      </c>
      <c r="H10" s="11" t="s">
        <v>90</v>
      </c>
      <c r="I10" s="15" t="s">
        <v>91</v>
      </c>
      <c r="J10" s="17" t="s">
        <v>60</v>
      </c>
    </row>
    <row r="11" customFormat="false" ht="23.25" hidden="false" customHeight="true" outlineLevel="0" collapsed="false">
      <c r="B11" s="11" t="n">
        <v>8</v>
      </c>
      <c r="C11" s="11" t="s">
        <v>92</v>
      </c>
      <c r="D11" s="11" t="s">
        <v>93</v>
      </c>
      <c r="E11" s="15" t="s">
        <v>94</v>
      </c>
      <c r="F11" s="15" t="s">
        <v>95</v>
      </c>
      <c r="G11" s="11" t="s">
        <v>96</v>
      </c>
      <c r="H11" s="11" t="s">
        <v>97</v>
      </c>
      <c r="I11" s="15" t="s">
        <v>98</v>
      </c>
      <c r="J11" s="11" t="s">
        <v>73</v>
      </c>
    </row>
    <row r="12" customFormat="false" ht="23.25" hidden="false" customHeight="true" outlineLevel="0" collapsed="false">
      <c r="B12" s="11" t="n">
        <v>9</v>
      </c>
      <c r="C12" s="11" t="s">
        <v>92</v>
      </c>
      <c r="D12" s="11" t="s">
        <v>99</v>
      </c>
      <c r="E12" s="15" t="s">
        <v>100</v>
      </c>
      <c r="F12" s="15" t="s">
        <v>101</v>
      </c>
      <c r="G12" s="11" t="s">
        <v>102</v>
      </c>
      <c r="H12" s="11" t="s">
        <v>103</v>
      </c>
      <c r="I12" s="15" t="s">
        <v>104</v>
      </c>
      <c r="J12" s="11" t="s">
        <v>73</v>
      </c>
    </row>
    <row r="13" customFormat="false" ht="23.25" hidden="false" customHeight="true" outlineLevel="0" collapsed="false">
      <c r="B13" s="11" t="n">
        <v>10</v>
      </c>
      <c r="C13" s="11" t="s">
        <v>92</v>
      </c>
      <c r="D13" s="11" t="s">
        <v>105</v>
      </c>
      <c r="E13" s="15" t="s">
        <v>106</v>
      </c>
      <c r="F13" s="15" t="s">
        <v>107</v>
      </c>
      <c r="G13" s="11" t="s">
        <v>108</v>
      </c>
      <c r="H13" s="11" t="s">
        <v>109</v>
      </c>
      <c r="I13" s="15" t="s">
        <v>110</v>
      </c>
      <c r="J13" s="11" t="s">
        <v>73</v>
      </c>
    </row>
    <row r="14" customFormat="false" ht="23.25" hidden="false" customHeight="true" outlineLevel="0" collapsed="false">
      <c r="B14" s="11" t="n">
        <v>11</v>
      </c>
      <c r="C14" s="11" t="s">
        <v>92</v>
      </c>
      <c r="D14" s="11" t="s">
        <v>111</v>
      </c>
      <c r="E14" s="15" t="s">
        <v>112</v>
      </c>
      <c r="F14" s="15" t="s">
        <v>56</v>
      </c>
      <c r="G14" s="11" t="s">
        <v>113</v>
      </c>
      <c r="H14" s="11" t="s">
        <v>114</v>
      </c>
      <c r="I14" s="15" t="s">
        <v>115</v>
      </c>
      <c r="J14" s="11" t="s">
        <v>73</v>
      </c>
    </row>
    <row r="15" customFormat="false" ht="23.25" hidden="false" customHeight="true" outlineLevel="0" collapsed="false">
      <c r="B15" s="11" t="n">
        <v>12</v>
      </c>
      <c r="C15" s="11" t="s">
        <v>92</v>
      </c>
      <c r="D15" s="11" t="s">
        <v>116</v>
      </c>
      <c r="E15" s="15" t="s">
        <v>117</v>
      </c>
      <c r="F15" s="15" t="s">
        <v>63</v>
      </c>
      <c r="G15" s="11" t="s">
        <v>118</v>
      </c>
      <c r="H15" s="11" t="s">
        <v>119</v>
      </c>
      <c r="I15" s="15" t="s">
        <v>120</v>
      </c>
      <c r="J15" s="18" t="s">
        <v>121</v>
      </c>
    </row>
    <row r="16" customFormat="false" ht="23.25" hidden="false" customHeight="true" outlineLevel="0" collapsed="false">
      <c r="B16" s="11" t="n">
        <v>13</v>
      </c>
      <c r="C16" s="11" t="s">
        <v>92</v>
      </c>
      <c r="D16" s="11" t="s">
        <v>122</v>
      </c>
      <c r="E16" s="15" t="s">
        <v>123</v>
      </c>
      <c r="F16" s="15" t="s">
        <v>56</v>
      </c>
      <c r="G16" s="11" t="s">
        <v>124</v>
      </c>
      <c r="H16" s="11" t="s">
        <v>125</v>
      </c>
      <c r="I16" s="15" t="s">
        <v>126</v>
      </c>
      <c r="J16" s="11" t="s">
        <v>73</v>
      </c>
    </row>
    <row r="17" customFormat="false" ht="23.25" hidden="false" customHeight="true" outlineLevel="0" collapsed="false">
      <c r="B17" s="11" t="n">
        <v>14</v>
      </c>
      <c r="C17" s="11" t="s">
        <v>92</v>
      </c>
      <c r="D17" s="11" t="s">
        <v>127</v>
      </c>
      <c r="E17" s="15" t="s">
        <v>128</v>
      </c>
      <c r="F17" s="15" t="s">
        <v>101</v>
      </c>
      <c r="G17" s="11" t="s">
        <v>129</v>
      </c>
      <c r="H17" s="11" t="s">
        <v>130</v>
      </c>
      <c r="I17" s="15" t="s">
        <v>131</v>
      </c>
      <c r="J17" s="11" t="s">
        <v>73</v>
      </c>
    </row>
    <row r="18" customFormat="false" ht="23.25" hidden="false" customHeight="true" outlineLevel="0" collapsed="false">
      <c r="B18" s="11" t="n">
        <v>15</v>
      </c>
      <c r="C18" s="11" t="s">
        <v>92</v>
      </c>
      <c r="D18" s="11" t="s">
        <v>132</v>
      </c>
      <c r="E18" s="15" t="s">
        <v>133</v>
      </c>
      <c r="F18" s="15" t="s">
        <v>56</v>
      </c>
      <c r="G18" s="11" t="s">
        <v>134</v>
      </c>
      <c r="H18" s="11" t="s">
        <v>135</v>
      </c>
      <c r="I18" s="15" t="s">
        <v>136</v>
      </c>
      <c r="J18" s="18" t="s">
        <v>137</v>
      </c>
    </row>
    <row r="19" customFormat="false" ht="23.25" hidden="false" customHeight="true" outlineLevel="0" collapsed="false">
      <c r="B19" s="11" t="n">
        <v>16</v>
      </c>
      <c r="C19" s="11" t="s">
        <v>92</v>
      </c>
      <c r="D19" s="11" t="s">
        <v>138</v>
      </c>
      <c r="E19" s="15" t="s">
        <v>139</v>
      </c>
      <c r="F19" s="15" t="s">
        <v>95</v>
      </c>
      <c r="G19" s="11" t="s">
        <v>83</v>
      </c>
      <c r="H19" s="11" t="s">
        <v>140</v>
      </c>
      <c r="I19" s="15" t="s">
        <v>141</v>
      </c>
      <c r="J19" s="11" t="s">
        <v>73</v>
      </c>
    </row>
    <row r="20" customFormat="false" ht="23.25" hidden="false" customHeight="true" outlineLevel="0" collapsed="false">
      <c r="B20" s="11" t="n">
        <v>17</v>
      </c>
      <c r="C20" s="11" t="s">
        <v>142</v>
      </c>
      <c r="D20" s="11" t="s">
        <v>143</v>
      </c>
      <c r="E20" s="15" t="s">
        <v>144</v>
      </c>
      <c r="F20" s="15" t="s">
        <v>56</v>
      </c>
      <c r="G20" s="11" t="s">
        <v>145</v>
      </c>
      <c r="H20" s="11" t="s">
        <v>146</v>
      </c>
      <c r="I20" s="15" t="s">
        <v>147</v>
      </c>
      <c r="J20" s="11" t="s">
        <v>73</v>
      </c>
    </row>
    <row r="21" customFormat="false" ht="23.25" hidden="false" customHeight="true" outlineLevel="0" collapsed="false">
      <c r="B21" s="11" t="n">
        <v>18</v>
      </c>
      <c r="C21" s="11" t="s">
        <v>142</v>
      </c>
      <c r="D21" s="11" t="s">
        <v>148</v>
      </c>
      <c r="E21" s="15" t="s">
        <v>149</v>
      </c>
      <c r="F21" s="15" t="s">
        <v>101</v>
      </c>
      <c r="G21" s="11" t="s">
        <v>150</v>
      </c>
      <c r="H21" s="11" t="s">
        <v>151</v>
      </c>
      <c r="I21" s="15" t="s">
        <v>152</v>
      </c>
      <c r="J21" s="11" t="s">
        <v>73</v>
      </c>
    </row>
    <row r="22" customFormat="false" ht="23.25" hidden="false" customHeight="true" outlineLevel="0" collapsed="false">
      <c r="B22" s="11" t="n">
        <v>19</v>
      </c>
      <c r="C22" s="11" t="s">
        <v>142</v>
      </c>
      <c r="D22" s="11" t="s">
        <v>153</v>
      </c>
      <c r="E22" s="15" t="s">
        <v>154</v>
      </c>
      <c r="F22" s="15" t="s">
        <v>56</v>
      </c>
      <c r="G22" s="11" t="s">
        <v>155</v>
      </c>
      <c r="H22" s="11" t="s">
        <v>156</v>
      </c>
      <c r="I22" s="15" t="s">
        <v>157</v>
      </c>
      <c r="J22" s="11" t="s">
        <v>73</v>
      </c>
    </row>
    <row r="23" customFormat="false" ht="23.25" hidden="false" customHeight="true" outlineLevel="0" collapsed="false">
      <c r="B23" s="11" t="n">
        <v>20</v>
      </c>
      <c r="C23" s="11" t="s">
        <v>142</v>
      </c>
      <c r="D23" s="11" t="s">
        <v>158</v>
      </c>
      <c r="E23" s="15" t="s">
        <v>159</v>
      </c>
      <c r="F23" s="15" t="s">
        <v>160</v>
      </c>
      <c r="G23" s="11" t="s">
        <v>161</v>
      </c>
      <c r="H23" s="11" t="s">
        <v>162</v>
      </c>
      <c r="I23" s="15" t="s">
        <v>163</v>
      </c>
      <c r="J23" s="17" t="s">
        <v>164</v>
      </c>
    </row>
    <row r="24" customFormat="false" ht="23.25" hidden="false" customHeight="true" outlineLevel="0" collapsed="false">
      <c r="B24" s="11" t="n">
        <v>21</v>
      </c>
      <c r="C24" s="11" t="s">
        <v>142</v>
      </c>
      <c r="D24" s="11" t="s">
        <v>165</v>
      </c>
      <c r="E24" s="15" t="s">
        <v>166</v>
      </c>
      <c r="F24" s="15" t="s">
        <v>160</v>
      </c>
      <c r="G24" s="11" t="s">
        <v>167</v>
      </c>
      <c r="H24" s="11" t="s">
        <v>168</v>
      </c>
      <c r="I24" s="15" t="s">
        <v>169</v>
      </c>
      <c r="J24" s="11" t="s">
        <v>73</v>
      </c>
    </row>
    <row r="25" customFormat="false" ht="15" hidden="false" customHeight="true" outlineLevel="0" collapsed="false">
      <c r="B25" s="11" t="n">
        <v>22</v>
      </c>
      <c r="C25" s="11" t="s">
        <v>142</v>
      </c>
      <c r="D25" s="11" t="s">
        <v>170</v>
      </c>
      <c r="E25" s="15" t="s">
        <v>171</v>
      </c>
      <c r="F25" s="15" t="s">
        <v>56</v>
      </c>
      <c r="G25" s="11" t="s">
        <v>172</v>
      </c>
      <c r="H25" s="11" t="s">
        <v>173</v>
      </c>
      <c r="I25" s="15" t="s">
        <v>174</v>
      </c>
      <c r="J25" s="18" t="s">
        <v>137</v>
      </c>
    </row>
    <row r="26" customFormat="false" ht="15" hidden="false" customHeight="true" outlineLevel="0" collapsed="false">
      <c r="B26" s="11" t="n">
        <v>23</v>
      </c>
      <c r="C26" s="11" t="s">
        <v>142</v>
      </c>
      <c r="D26" s="11" t="s">
        <v>175</v>
      </c>
      <c r="E26" s="15" t="s">
        <v>176</v>
      </c>
      <c r="F26" s="15" t="s">
        <v>160</v>
      </c>
      <c r="G26" s="11" t="s">
        <v>177</v>
      </c>
      <c r="H26" s="11" t="s">
        <v>178</v>
      </c>
      <c r="I26" s="15" t="s">
        <v>179</v>
      </c>
      <c r="J26" s="11" t="s">
        <v>73</v>
      </c>
    </row>
    <row r="27" customFormat="false" ht="15" hidden="false" customHeight="true" outlineLevel="0" collapsed="false">
      <c r="B27" s="11" t="n">
        <v>24</v>
      </c>
      <c r="C27" s="11" t="s">
        <v>142</v>
      </c>
      <c r="D27" s="11" t="s">
        <v>180</v>
      </c>
      <c r="E27" s="15" t="s">
        <v>181</v>
      </c>
      <c r="F27" s="15" t="s">
        <v>56</v>
      </c>
      <c r="G27" s="11" t="s">
        <v>182</v>
      </c>
      <c r="H27" s="11" t="s">
        <v>183</v>
      </c>
      <c r="I27" s="15" t="s">
        <v>184</v>
      </c>
      <c r="J27" s="18" t="s">
        <v>137</v>
      </c>
    </row>
    <row r="28" customFormat="false" ht="23.25" hidden="false" customHeight="true" outlineLevel="0" collapsed="false">
      <c r="B28" s="11" t="n">
        <v>25</v>
      </c>
      <c r="C28" s="11" t="s">
        <v>142</v>
      </c>
      <c r="D28" s="11" t="s">
        <v>185</v>
      </c>
      <c r="E28" s="15" t="s">
        <v>186</v>
      </c>
      <c r="F28" s="15" t="s">
        <v>187</v>
      </c>
      <c r="G28" s="11" t="s">
        <v>188</v>
      </c>
      <c r="H28" s="11" t="s">
        <v>189</v>
      </c>
      <c r="I28" s="15" t="s">
        <v>190</v>
      </c>
      <c r="J28" s="18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B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30"/>
    <col collapsed="false" customWidth="true" hidden="false" outlineLevel="0" max="5" min="5" style="1" width="45"/>
    <col collapsed="false" customWidth="true" hidden="false" outlineLevel="0" max="8" min="6" style="1" width="15"/>
    <col collapsed="false" customWidth="true" hidden="false" outlineLevel="0" max="9" min="9" style="1" width="40"/>
    <col collapsed="false" customWidth="true" hidden="false" outlineLevel="0" max="10" min="10" style="1" width="15"/>
  </cols>
  <sheetData>
    <row r="1" customFormat="false" ht="17.25" hidden="false" customHeight="true" outlineLevel="0" collapsed="false">
      <c r="B1" s="2" t="s">
        <v>191</v>
      </c>
    </row>
    <row r="3" customFormat="false" ht="15" hidden="false" customHeight="true" outlineLevel="0" collapsed="false"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</row>
    <row r="4" customFormat="false" ht="23.25" hidden="false" customHeight="true" outlineLevel="0" collapsed="false">
      <c r="B4" s="11" t="n">
        <v>1</v>
      </c>
      <c r="C4" s="11" t="s">
        <v>46</v>
      </c>
      <c r="D4" s="11" t="s">
        <v>192</v>
      </c>
      <c r="E4" s="15" t="s">
        <v>193</v>
      </c>
      <c r="F4" s="15" t="s">
        <v>194</v>
      </c>
      <c r="G4" s="11" t="s">
        <v>50</v>
      </c>
      <c r="H4" s="11" t="s">
        <v>195</v>
      </c>
      <c r="I4" s="15" t="s">
        <v>196</v>
      </c>
      <c r="J4" s="16" t="s">
        <v>53</v>
      </c>
    </row>
    <row r="5" customFormat="false" ht="23.25" hidden="false" customHeight="true" outlineLevel="0" collapsed="false">
      <c r="B5" s="11" t="n">
        <v>2</v>
      </c>
      <c r="C5" s="11" t="s">
        <v>46</v>
      </c>
      <c r="D5" s="11" t="s">
        <v>197</v>
      </c>
      <c r="E5" s="15" t="s">
        <v>198</v>
      </c>
      <c r="F5" s="15" t="s">
        <v>63</v>
      </c>
      <c r="G5" s="11" t="s">
        <v>83</v>
      </c>
      <c r="H5" s="11" t="s">
        <v>199</v>
      </c>
      <c r="I5" s="15" t="s">
        <v>200</v>
      </c>
      <c r="J5" s="17" t="s">
        <v>60</v>
      </c>
    </row>
    <row r="6" customFormat="false" ht="23.25" hidden="false" customHeight="true" outlineLevel="0" collapsed="false">
      <c r="B6" s="11" t="n">
        <v>3</v>
      </c>
      <c r="C6" s="11" t="s">
        <v>46</v>
      </c>
      <c r="D6" s="11" t="s">
        <v>201</v>
      </c>
      <c r="E6" s="15" t="s">
        <v>202</v>
      </c>
      <c r="F6" s="15" t="s">
        <v>63</v>
      </c>
      <c r="G6" s="11" t="s">
        <v>203</v>
      </c>
      <c r="H6" s="11" t="s">
        <v>204</v>
      </c>
      <c r="I6" s="15" t="s">
        <v>205</v>
      </c>
      <c r="J6" s="11" t="s">
        <v>73</v>
      </c>
    </row>
    <row r="7" customFormat="false" ht="23.25" hidden="false" customHeight="true" outlineLevel="0" collapsed="false">
      <c r="B7" s="11" t="n">
        <v>4</v>
      </c>
      <c r="C7" s="11" t="s">
        <v>46</v>
      </c>
      <c r="D7" s="11" t="s">
        <v>206</v>
      </c>
      <c r="E7" s="15" t="s">
        <v>207</v>
      </c>
      <c r="F7" s="15" t="s">
        <v>208</v>
      </c>
      <c r="G7" s="11" t="s">
        <v>209</v>
      </c>
      <c r="H7" s="11" t="s">
        <v>210</v>
      </c>
      <c r="I7" s="15" t="s">
        <v>211</v>
      </c>
      <c r="J7" s="11" t="s">
        <v>73</v>
      </c>
    </row>
    <row r="8" customFormat="false" ht="23.25" hidden="false" customHeight="true" outlineLevel="0" collapsed="false">
      <c r="B8" s="11" t="n">
        <v>5</v>
      </c>
      <c r="C8" s="11" t="s">
        <v>46</v>
      </c>
      <c r="D8" s="11" t="s">
        <v>212</v>
      </c>
      <c r="E8" s="15" t="s">
        <v>213</v>
      </c>
      <c r="F8" s="15" t="s">
        <v>95</v>
      </c>
      <c r="G8" s="11" t="s">
        <v>83</v>
      </c>
      <c r="H8" s="11" t="s">
        <v>199</v>
      </c>
      <c r="I8" s="15" t="s">
        <v>214</v>
      </c>
      <c r="J8" s="17" t="s">
        <v>60</v>
      </c>
    </row>
    <row r="9" customFormat="false" ht="23.25" hidden="false" customHeight="true" outlineLevel="0" collapsed="false">
      <c r="B9" s="11" t="n">
        <v>6</v>
      </c>
      <c r="C9" s="11" t="s">
        <v>46</v>
      </c>
      <c r="D9" s="11" t="s">
        <v>215</v>
      </c>
      <c r="E9" s="15" t="s">
        <v>216</v>
      </c>
      <c r="F9" s="15" t="s">
        <v>63</v>
      </c>
      <c r="G9" s="11" t="s">
        <v>217</v>
      </c>
      <c r="H9" s="11" t="s">
        <v>218</v>
      </c>
      <c r="I9" s="15" t="s">
        <v>219</v>
      </c>
      <c r="J9" s="11" t="s">
        <v>73</v>
      </c>
    </row>
    <row r="10" customFormat="false" ht="23.25" hidden="false" customHeight="true" outlineLevel="0" collapsed="false">
      <c r="B10" s="11" t="n">
        <v>7</v>
      </c>
      <c r="C10" s="11" t="s">
        <v>92</v>
      </c>
      <c r="D10" s="11" t="s">
        <v>220</v>
      </c>
      <c r="E10" s="15" t="s">
        <v>221</v>
      </c>
      <c r="F10" s="15" t="s">
        <v>101</v>
      </c>
      <c r="G10" s="11" t="s">
        <v>222</v>
      </c>
      <c r="H10" s="11" t="s">
        <v>223</v>
      </c>
      <c r="I10" s="15" t="s">
        <v>224</v>
      </c>
      <c r="J10" s="17" t="s">
        <v>60</v>
      </c>
    </row>
    <row r="11" customFormat="false" ht="15" hidden="false" customHeight="true" outlineLevel="0" collapsed="false">
      <c r="B11" s="11" t="n">
        <v>8</v>
      </c>
      <c r="C11" s="11" t="s">
        <v>92</v>
      </c>
      <c r="D11" s="11" t="s">
        <v>225</v>
      </c>
      <c r="E11" s="15" t="s">
        <v>226</v>
      </c>
      <c r="F11" s="15" t="s">
        <v>101</v>
      </c>
      <c r="G11" s="11" t="s">
        <v>227</v>
      </c>
      <c r="H11" s="11" t="s">
        <v>65</v>
      </c>
      <c r="I11" s="15" t="s">
        <v>228</v>
      </c>
      <c r="J11" s="17" t="s">
        <v>60</v>
      </c>
    </row>
    <row r="12" customFormat="false" ht="23.25" hidden="false" customHeight="true" outlineLevel="0" collapsed="false">
      <c r="B12" s="11" t="n">
        <v>9</v>
      </c>
      <c r="C12" s="11" t="s">
        <v>92</v>
      </c>
      <c r="D12" s="11" t="s">
        <v>229</v>
      </c>
      <c r="E12" s="15" t="s">
        <v>230</v>
      </c>
      <c r="F12" s="15" t="s">
        <v>56</v>
      </c>
      <c r="G12" s="11" t="s">
        <v>231</v>
      </c>
      <c r="H12" s="11" t="s">
        <v>232</v>
      </c>
      <c r="I12" s="15" t="s">
        <v>233</v>
      </c>
      <c r="J12" s="18" t="s">
        <v>121</v>
      </c>
    </row>
    <row r="13" customFormat="false" ht="23.25" hidden="false" customHeight="true" outlineLevel="0" collapsed="false">
      <c r="B13" s="11" t="n">
        <v>10</v>
      </c>
      <c r="C13" s="11" t="s">
        <v>92</v>
      </c>
      <c r="D13" s="11" t="s">
        <v>234</v>
      </c>
      <c r="E13" s="15" t="s">
        <v>235</v>
      </c>
      <c r="F13" s="15" t="s">
        <v>95</v>
      </c>
      <c r="G13" s="11" t="s">
        <v>236</v>
      </c>
      <c r="H13" s="11" t="s">
        <v>237</v>
      </c>
      <c r="I13" s="15" t="s">
        <v>238</v>
      </c>
      <c r="J13" s="11" t="s">
        <v>73</v>
      </c>
    </row>
    <row r="14" customFormat="false" ht="23.25" hidden="false" customHeight="true" outlineLevel="0" collapsed="false">
      <c r="B14" s="11" t="n">
        <v>11</v>
      </c>
      <c r="C14" s="11" t="s">
        <v>92</v>
      </c>
      <c r="D14" s="11" t="s">
        <v>239</v>
      </c>
      <c r="E14" s="15" t="s">
        <v>240</v>
      </c>
      <c r="F14" s="15" t="s">
        <v>56</v>
      </c>
      <c r="G14" s="11" t="s">
        <v>241</v>
      </c>
      <c r="H14" s="11" t="s">
        <v>242</v>
      </c>
      <c r="I14" s="15" t="s">
        <v>243</v>
      </c>
      <c r="J14" s="11" t="s">
        <v>73</v>
      </c>
    </row>
    <row r="15" customFormat="false" ht="23.25" hidden="false" customHeight="true" outlineLevel="0" collapsed="false">
      <c r="B15" s="11" t="n">
        <v>12</v>
      </c>
      <c r="C15" s="11" t="s">
        <v>92</v>
      </c>
      <c r="D15" s="11" t="s">
        <v>244</v>
      </c>
      <c r="E15" s="15" t="s">
        <v>245</v>
      </c>
      <c r="F15" s="15" t="s">
        <v>95</v>
      </c>
      <c r="G15" s="11" t="s">
        <v>246</v>
      </c>
      <c r="H15" s="11" t="s">
        <v>90</v>
      </c>
      <c r="I15" s="15" t="s">
        <v>247</v>
      </c>
      <c r="J15" s="17" t="s">
        <v>60</v>
      </c>
    </row>
    <row r="16" customFormat="false" ht="15" hidden="false" customHeight="true" outlineLevel="0" collapsed="false">
      <c r="B16" s="11" t="n">
        <v>13</v>
      </c>
      <c r="C16" s="11" t="s">
        <v>92</v>
      </c>
      <c r="D16" s="11" t="s">
        <v>248</v>
      </c>
      <c r="E16" s="15" t="s">
        <v>249</v>
      </c>
      <c r="F16" s="15" t="s">
        <v>101</v>
      </c>
      <c r="G16" s="11" t="s">
        <v>250</v>
      </c>
      <c r="H16" s="11" t="s">
        <v>251</v>
      </c>
      <c r="I16" s="15" t="s">
        <v>252</v>
      </c>
      <c r="J16" s="11" t="s">
        <v>73</v>
      </c>
    </row>
    <row r="17" customFormat="false" ht="23.25" hidden="false" customHeight="true" outlineLevel="0" collapsed="false">
      <c r="B17" s="11" t="n">
        <v>14</v>
      </c>
      <c r="C17" s="11" t="s">
        <v>92</v>
      </c>
      <c r="D17" s="11" t="s">
        <v>253</v>
      </c>
      <c r="E17" s="15" t="s">
        <v>254</v>
      </c>
      <c r="F17" s="15" t="s">
        <v>56</v>
      </c>
      <c r="G17" s="11" t="s">
        <v>255</v>
      </c>
      <c r="H17" s="11" t="s">
        <v>256</v>
      </c>
      <c r="I17" s="15" t="s">
        <v>257</v>
      </c>
      <c r="J17" s="18" t="s">
        <v>137</v>
      </c>
    </row>
    <row r="18" customFormat="false" ht="23.25" hidden="false" customHeight="true" outlineLevel="0" collapsed="false">
      <c r="B18" s="11" t="n">
        <v>15</v>
      </c>
      <c r="C18" s="11" t="s">
        <v>92</v>
      </c>
      <c r="D18" s="11" t="s">
        <v>258</v>
      </c>
      <c r="E18" s="15" t="s">
        <v>259</v>
      </c>
      <c r="F18" s="15" t="s">
        <v>160</v>
      </c>
      <c r="G18" s="11" t="s">
        <v>260</v>
      </c>
      <c r="H18" s="11" t="s">
        <v>261</v>
      </c>
      <c r="I18" s="15" t="s">
        <v>262</v>
      </c>
      <c r="J18" s="17" t="s">
        <v>164</v>
      </c>
    </row>
    <row r="19" customFormat="false" ht="23.25" hidden="false" customHeight="true" outlineLevel="0" collapsed="false">
      <c r="B19" s="11" t="n">
        <v>16</v>
      </c>
      <c r="C19" s="11" t="s">
        <v>92</v>
      </c>
      <c r="D19" s="11" t="s">
        <v>263</v>
      </c>
      <c r="E19" s="15" t="s">
        <v>264</v>
      </c>
      <c r="F19" s="15" t="s">
        <v>56</v>
      </c>
      <c r="G19" s="11" t="s">
        <v>129</v>
      </c>
      <c r="H19" s="11" t="s">
        <v>265</v>
      </c>
      <c r="I19" s="15" t="s">
        <v>266</v>
      </c>
      <c r="J19" s="11" t="s">
        <v>73</v>
      </c>
    </row>
    <row r="20" customFormat="false" ht="23.25" hidden="false" customHeight="true" outlineLevel="0" collapsed="false">
      <c r="B20" s="11" t="n">
        <v>17</v>
      </c>
      <c r="C20" s="11" t="s">
        <v>142</v>
      </c>
      <c r="D20" s="11" t="s">
        <v>267</v>
      </c>
      <c r="E20" s="15" t="s">
        <v>268</v>
      </c>
      <c r="F20" s="15" t="s">
        <v>56</v>
      </c>
      <c r="G20" s="11" t="s">
        <v>83</v>
      </c>
      <c r="H20" s="11" t="s">
        <v>269</v>
      </c>
      <c r="I20" s="15" t="s">
        <v>270</v>
      </c>
      <c r="J20" s="11" t="s">
        <v>73</v>
      </c>
    </row>
    <row r="21" customFormat="false" ht="23.25" hidden="false" customHeight="true" outlineLevel="0" collapsed="false">
      <c r="B21" s="11" t="n">
        <v>18</v>
      </c>
      <c r="C21" s="11" t="s">
        <v>142</v>
      </c>
      <c r="D21" s="11" t="s">
        <v>271</v>
      </c>
      <c r="E21" s="15" t="s">
        <v>272</v>
      </c>
      <c r="F21" s="15" t="s">
        <v>160</v>
      </c>
      <c r="G21" s="11" t="s">
        <v>273</v>
      </c>
      <c r="H21" s="11" t="s">
        <v>274</v>
      </c>
      <c r="I21" s="15" t="s">
        <v>275</v>
      </c>
      <c r="J21" s="17" t="s">
        <v>164</v>
      </c>
    </row>
    <row r="22" customFormat="false" ht="23.25" hidden="false" customHeight="true" outlineLevel="0" collapsed="false">
      <c r="B22" s="11" t="n">
        <v>19</v>
      </c>
      <c r="C22" s="11" t="s">
        <v>142</v>
      </c>
      <c r="D22" s="11" t="s">
        <v>276</v>
      </c>
      <c r="E22" s="15" t="s">
        <v>277</v>
      </c>
      <c r="F22" s="15" t="s">
        <v>56</v>
      </c>
      <c r="G22" s="11" t="s">
        <v>278</v>
      </c>
      <c r="H22" s="11" t="s">
        <v>279</v>
      </c>
      <c r="I22" s="15" t="s">
        <v>280</v>
      </c>
      <c r="J22" s="11" t="s">
        <v>73</v>
      </c>
    </row>
    <row r="23" customFormat="false" ht="23.25" hidden="false" customHeight="true" outlineLevel="0" collapsed="false">
      <c r="B23" s="11" t="n">
        <v>20</v>
      </c>
      <c r="C23" s="11" t="s">
        <v>142</v>
      </c>
      <c r="D23" s="11" t="s">
        <v>281</v>
      </c>
      <c r="E23" s="15" t="s">
        <v>282</v>
      </c>
      <c r="F23" s="15" t="s">
        <v>160</v>
      </c>
      <c r="G23" s="11" t="s">
        <v>283</v>
      </c>
      <c r="H23" s="11" t="s">
        <v>284</v>
      </c>
      <c r="I23" s="15" t="s">
        <v>285</v>
      </c>
      <c r="J23" s="18" t="s">
        <v>137</v>
      </c>
    </row>
    <row r="24" customFormat="false" ht="23.25" hidden="false" customHeight="true" outlineLevel="0" collapsed="false">
      <c r="B24" s="11" t="n">
        <v>21</v>
      </c>
      <c r="C24" s="11" t="s">
        <v>142</v>
      </c>
      <c r="D24" s="11" t="s">
        <v>286</v>
      </c>
      <c r="E24" s="15" t="s">
        <v>287</v>
      </c>
      <c r="F24" s="15" t="s">
        <v>56</v>
      </c>
      <c r="G24" s="11" t="s">
        <v>288</v>
      </c>
      <c r="H24" s="11" t="s">
        <v>289</v>
      </c>
      <c r="I24" s="15" t="s">
        <v>290</v>
      </c>
      <c r="J24" s="11" t="s">
        <v>73</v>
      </c>
    </row>
    <row r="25" customFormat="false" ht="23.25" hidden="false" customHeight="true" outlineLevel="0" collapsed="false">
      <c r="B25" s="11" t="n">
        <v>22</v>
      </c>
      <c r="C25" s="11" t="s">
        <v>142</v>
      </c>
      <c r="D25" s="11" t="s">
        <v>291</v>
      </c>
      <c r="E25" s="15" t="s">
        <v>292</v>
      </c>
      <c r="F25" s="15" t="s">
        <v>160</v>
      </c>
      <c r="G25" s="11" t="s">
        <v>293</v>
      </c>
      <c r="H25" s="11" t="s">
        <v>294</v>
      </c>
      <c r="I25" s="15" t="s">
        <v>295</v>
      </c>
      <c r="J25" s="18" t="s">
        <v>137</v>
      </c>
    </row>
    <row r="26" customFormat="false" ht="23.25" hidden="false" customHeight="true" outlineLevel="0" collapsed="false">
      <c r="B26" s="11" t="n">
        <v>23</v>
      </c>
      <c r="C26" s="11" t="s">
        <v>142</v>
      </c>
      <c r="D26" s="11" t="s">
        <v>296</v>
      </c>
      <c r="E26" s="15" t="s">
        <v>297</v>
      </c>
      <c r="F26" s="15" t="s">
        <v>187</v>
      </c>
      <c r="G26" s="11" t="s">
        <v>298</v>
      </c>
      <c r="H26" s="11" t="s">
        <v>299</v>
      </c>
      <c r="I26" s="15" t="s">
        <v>300</v>
      </c>
      <c r="J26" s="11" t="s">
        <v>301</v>
      </c>
    </row>
    <row r="27" customFormat="false" ht="23.25" hidden="false" customHeight="true" outlineLevel="0" collapsed="false">
      <c r="B27" s="11" t="n">
        <v>24</v>
      </c>
      <c r="C27" s="11" t="s">
        <v>142</v>
      </c>
      <c r="D27" s="11" t="s">
        <v>302</v>
      </c>
      <c r="E27" s="15" t="s">
        <v>303</v>
      </c>
      <c r="F27" s="15" t="s">
        <v>187</v>
      </c>
      <c r="G27" s="11" t="s">
        <v>304</v>
      </c>
      <c r="H27" s="11" t="s">
        <v>305</v>
      </c>
      <c r="I27" s="15" t="s">
        <v>306</v>
      </c>
      <c r="J27" s="18" t="s">
        <v>137</v>
      </c>
    </row>
    <row r="28" customFormat="false" ht="23.25" hidden="false" customHeight="true" outlineLevel="0" collapsed="false">
      <c r="B28" s="11" t="n">
        <v>25</v>
      </c>
      <c r="C28" s="11" t="s">
        <v>142</v>
      </c>
      <c r="D28" s="11" t="s">
        <v>307</v>
      </c>
      <c r="E28" s="15" t="s">
        <v>308</v>
      </c>
      <c r="F28" s="15" t="s">
        <v>187</v>
      </c>
      <c r="G28" s="11" t="s">
        <v>309</v>
      </c>
      <c r="H28" s="11" t="s">
        <v>310</v>
      </c>
      <c r="I28" s="15" t="s">
        <v>311</v>
      </c>
      <c r="J28" s="18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748"/>
    <pageSetUpPr fitToPage="false"/>
  </sheetPr>
  <dimension ref="B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30"/>
    <col collapsed="false" customWidth="true" hidden="false" outlineLevel="0" max="6" min="5" style="1" width="10"/>
    <col collapsed="false" customWidth="true" hidden="false" outlineLevel="0" max="9" min="7" style="1" width="12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3" min="12" style="1" width="12"/>
    <col collapsed="false" customWidth="true" hidden="false" outlineLevel="0" max="15" min="14" style="1" width="10"/>
    <col collapsed="false" customWidth="true" hidden="false" outlineLevel="0" max="16" min="16" style="1" width="12"/>
    <col collapsed="false" customWidth="true" hidden="false" outlineLevel="0" max="17" min="17" style="1" width="30"/>
  </cols>
  <sheetData>
    <row r="1" customFormat="false" ht="17.25" hidden="false" customHeight="true" outlineLevel="0" collapsed="false">
      <c r="B1" s="2" t="s">
        <v>312</v>
      </c>
    </row>
    <row r="3" customFormat="false" ht="15" hidden="false" customHeight="true" outlineLevel="0" collapsed="false">
      <c r="B3" s="5" t="s">
        <v>313</v>
      </c>
      <c r="C3" s="5" t="s">
        <v>314</v>
      </c>
      <c r="D3" s="5" t="s">
        <v>315</v>
      </c>
      <c r="E3" s="5" t="s">
        <v>316</v>
      </c>
      <c r="F3" s="5" t="s">
        <v>317</v>
      </c>
      <c r="G3" s="5" t="s">
        <v>318</v>
      </c>
      <c r="H3" s="5" t="s">
        <v>319</v>
      </c>
      <c r="I3" s="5" t="s">
        <v>320</v>
      </c>
      <c r="J3" s="5" t="s">
        <v>321</v>
      </c>
      <c r="K3" s="5" t="s">
        <v>322</v>
      </c>
      <c r="L3" s="5" t="s">
        <v>323</v>
      </c>
      <c r="M3" s="5" t="s">
        <v>324</v>
      </c>
      <c r="N3" s="5" t="s">
        <v>325</v>
      </c>
      <c r="O3" s="5" t="s">
        <v>326</v>
      </c>
      <c r="P3" s="5" t="s">
        <v>327</v>
      </c>
      <c r="Q3" s="5" t="s">
        <v>328</v>
      </c>
    </row>
    <row r="4" customFormat="false" ht="15" hidden="false" customHeight="true" outlineLevel="0" collapsed="false">
      <c r="B4" s="19"/>
      <c r="C4" s="19"/>
      <c r="D4" s="19"/>
      <c r="E4" s="19"/>
      <c r="F4" s="19"/>
      <c r="G4" s="19"/>
      <c r="H4" s="19"/>
      <c r="I4" s="19"/>
      <c r="J4" s="20" t="str">
        <f aca="false">IF(OR(H4="",G4=""),"",H4-G4)</f>
        <v/>
      </c>
      <c r="K4" s="19"/>
      <c r="L4" s="19"/>
      <c r="M4" s="19"/>
      <c r="N4" s="19"/>
      <c r="O4" s="20" t="str">
        <f aca="false">IF(OR(F4="",N4=""),"",((N4-G4)/G4)*F4)</f>
        <v/>
      </c>
      <c r="P4" s="21" t="n">
        <f aca="false">IF(O4="",100,100+O4)</f>
        <v>100</v>
      </c>
      <c r="Q4" s="22"/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20" t="str">
        <f aca="false">IF(OR(H5="",G5=""),"",H5-G5)</f>
        <v/>
      </c>
      <c r="K5" s="19"/>
      <c r="L5" s="19"/>
      <c r="M5" s="19"/>
      <c r="N5" s="19"/>
      <c r="O5" s="20" t="str">
        <f aca="false">IF(OR(F5="",N5=""),"",((N5-G5)/G5)*F5)</f>
        <v/>
      </c>
      <c r="P5" s="21" t="n">
        <f aca="false">IF(AND(O5="",F5=""),P4,P4+IF(O5="",0,O5))</f>
        <v>100</v>
      </c>
      <c r="Q5" s="22"/>
    </row>
    <row r="6" customFormat="false" ht="15" hidden="false" customHeight="true" outlineLevel="0" collapsed="false">
      <c r="B6" s="19"/>
      <c r="C6" s="19"/>
      <c r="D6" s="19"/>
      <c r="E6" s="19"/>
      <c r="F6" s="19"/>
      <c r="G6" s="19"/>
      <c r="H6" s="19"/>
      <c r="I6" s="19"/>
      <c r="J6" s="20" t="str">
        <f aca="false">IF(OR(H6="",G6=""),"",H6-G6)</f>
        <v/>
      </c>
      <c r="K6" s="19"/>
      <c r="L6" s="19"/>
      <c r="M6" s="19"/>
      <c r="N6" s="19"/>
      <c r="O6" s="20" t="str">
        <f aca="false">IF(OR(F6="",N6=""),"",((N6-G6)/G6)*F6)</f>
        <v/>
      </c>
      <c r="P6" s="21" t="n">
        <f aca="false">IF(AND(O6="",F6=""),P5,P5+IF(O6="",0,O6))</f>
        <v>100</v>
      </c>
      <c r="Q6" s="22"/>
    </row>
    <row r="7" customFormat="false" ht="15" hidden="false" customHeight="true" outlineLevel="0" collapsed="false">
      <c r="B7" s="19"/>
      <c r="C7" s="19"/>
      <c r="D7" s="19"/>
      <c r="E7" s="19"/>
      <c r="F7" s="19"/>
      <c r="G7" s="19"/>
      <c r="H7" s="19"/>
      <c r="I7" s="19"/>
      <c r="J7" s="20" t="str">
        <f aca="false">IF(OR(H7="",G7=""),"",H7-G7)</f>
        <v/>
      </c>
      <c r="K7" s="19"/>
      <c r="L7" s="19"/>
      <c r="M7" s="19"/>
      <c r="N7" s="19"/>
      <c r="O7" s="20" t="str">
        <f aca="false">IF(OR(F7="",N7=""),"",((N7-G7)/G7)*F7)</f>
        <v/>
      </c>
      <c r="P7" s="21" t="n">
        <f aca="false">IF(AND(O7="",F7=""),P6,P6+IF(O7="",0,O7))</f>
        <v>100</v>
      </c>
      <c r="Q7" s="22"/>
    </row>
    <row r="8" customFormat="false" ht="15" hidden="false" customHeight="true" outlineLevel="0" collapsed="false">
      <c r="B8" s="19"/>
      <c r="C8" s="19"/>
      <c r="D8" s="19"/>
      <c r="E8" s="19"/>
      <c r="F8" s="19"/>
      <c r="G8" s="19"/>
      <c r="H8" s="19"/>
      <c r="I8" s="19"/>
      <c r="J8" s="20" t="str">
        <f aca="false">IF(OR(H8="",G8=""),"",H8-G8)</f>
        <v/>
      </c>
      <c r="K8" s="19"/>
      <c r="L8" s="19"/>
      <c r="M8" s="19"/>
      <c r="N8" s="19"/>
      <c r="O8" s="20" t="str">
        <f aca="false">IF(OR(F8="",N8=""),"",((N8-G8)/G8)*F8)</f>
        <v/>
      </c>
      <c r="P8" s="21" t="n">
        <f aca="false">IF(AND(O8="",F8=""),P7,P7+IF(O8="",0,O8))</f>
        <v>100</v>
      </c>
      <c r="Q8" s="22"/>
    </row>
    <row r="9" customFormat="false" ht="15" hidden="false" customHeight="true" outlineLevel="0" collapsed="false">
      <c r="B9" s="19"/>
      <c r="C9" s="19"/>
      <c r="D9" s="19"/>
      <c r="E9" s="19"/>
      <c r="F9" s="19"/>
      <c r="G9" s="19"/>
      <c r="H9" s="19"/>
      <c r="I9" s="19"/>
      <c r="J9" s="20" t="str">
        <f aca="false">IF(OR(H9="",G9=""),"",H9-G9)</f>
        <v/>
      </c>
      <c r="K9" s="19"/>
      <c r="L9" s="19"/>
      <c r="M9" s="19"/>
      <c r="N9" s="19"/>
      <c r="O9" s="20" t="str">
        <f aca="false">IF(OR(F9="",N9=""),"",((N9-G9)/G9)*F9)</f>
        <v/>
      </c>
      <c r="P9" s="21" t="n">
        <f aca="false">IF(AND(O9="",F9=""),P8,P8+IF(O9="",0,O9))</f>
        <v>100</v>
      </c>
      <c r="Q9" s="22"/>
    </row>
    <row r="10" customFormat="false" ht="15" hidden="false" customHeight="true" outlineLevel="0" collapsed="false">
      <c r="B10" s="19"/>
      <c r="C10" s="19"/>
      <c r="D10" s="19"/>
      <c r="E10" s="19"/>
      <c r="F10" s="19"/>
      <c r="G10" s="19"/>
      <c r="H10" s="19"/>
      <c r="I10" s="19"/>
      <c r="J10" s="20" t="str">
        <f aca="false">IF(OR(H10="",G10=""),"",H10-G10)</f>
        <v/>
      </c>
      <c r="K10" s="19"/>
      <c r="L10" s="19"/>
      <c r="M10" s="19"/>
      <c r="N10" s="19"/>
      <c r="O10" s="20" t="str">
        <f aca="false">IF(OR(F10="",N10=""),"",((N10-G10)/G10)*F10)</f>
        <v/>
      </c>
      <c r="P10" s="21" t="n">
        <f aca="false">IF(AND(O10="",F10=""),P9,P9+IF(O10="",0,O10))</f>
        <v>100</v>
      </c>
      <c r="Q10" s="22"/>
    </row>
    <row r="11" customFormat="false" ht="15" hidden="false" customHeight="true" outlineLevel="0" collapsed="false">
      <c r="B11" s="19"/>
      <c r="C11" s="19"/>
      <c r="D11" s="19"/>
      <c r="E11" s="19"/>
      <c r="F11" s="19"/>
      <c r="G11" s="19"/>
      <c r="H11" s="19"/>
      <c r="I11" s="19"/>
      <c r="J11" s="20" t="str">
        <f aca="false">IF(OR(H11="",G11=""),"",H11-G11)</f>
        <v/>
      </c>
      <c r="K11" s="19"/>
      <c r="L11" s="19"/>
      <c r="M11" s="19"/>
      <c r="N11" s="19"/>
      <c r="O11" s="20" t="str">
        <f aca="false">IF(OR(F11="",N11=""),"",((N11-G11)/G11)*F11)</f>
        <v/>
      </c>
      <c r="P11" s="21" t="n">
        <f aca="false">IF(AND(O11="",F11=""),P10,P10+IF(O11="",0,O11))</f>
        <v>100</v>
      </c>
      <c r="Q11" s="22"/>
    </row>
    <row r="12" customFormat="false" ht="15" hidden="false" customHeight="true" outlineLevel="0" collapsed="false">
      <c r="B12" s="19"/>
      <c r="C12" s="19"/>
      <c r="D12" s="19"/>
      <c r="E12" s="19"/>
      <c r="F12" s="19"/>
      <c r="G12" s="19"/>
      <c r="H12" s="19"/>
      <c r="I12" s="19"/>
      <c r="J12" s="20" t="str">
        <f aca="false">IF(OR(H12="",G12=""),"",H12-G12)</f>
        <v/>
      </c>
      <c r="K12" s="19"/>
      <c r="L12" s="19"/>
      <c r="M12" s="19"/>
      <c r="N12" s="19"/>
      <c r="O12" s="20" t="str">
        <f aca="false">IF(OR(F12="",N12=""),"",((N12-G12)/G12)*F12)</f>
        <v/>
      </c>
      <c r="P12" s="21" t="n">
        <f aca="false">IF(AND(O12="",F12=""),P11,P11+IF(O12="",0,O12))</f>
        <v>100</v>
      </c>
      <c r="Q12" s="22"/>
    </row>
    <row r="13" customFormat="false" ht="15" hidden="false" customHeight="true" outlineLevel="0" collapsed="false">
      <c r="B13" s="19"/>
      <c r="C13" s="19"/>
      <c r="D13" s="19"/>
      <c r="E13" s="19"/>
      <c r="F13" s="19"/>
      <c r="G13" s="19"/>
      <c r="H13" s="19"/>
      <c r="I13" s="19"/>
      <c r="J13" s="20" t="str">
        <f aca="false">IF(OR(H13="",G13=""),"",H13-G13)</f>
        <v/>
      </c>
      <c r="K13" s="19"/>
      <c r="L13" s="19"/>
      <c r="M13" s="19"/>
      <c r="N13" s="19"/>
      <c r="O13" s="20" t="str">
        <f aca="false">IF(OR(F13="",N13=""),"",((N13-G13)/G13)*F13)</f>
        <v/>
      </c>
      <c r="P13" s="21" t="n">
        <f aca="false">IF(AND(O13="",F13=""),P12,P12+IF(O13="",0,O13))</f>
        <v>100</v>
      </c>
      <c r="Q13" s="22"/>
    </row>
    <row r="14" customFormat="false" ht="15" hidden="false" customHeight="true" outlineLevel="0" collapsed="false">
      <c r="B14" s="19"/>
      <c r="C14" s="19"/>
      <c r="D14" s="19"/>
      <c r="E14" s="19"/>
      <c r="F14" s="19"/>
      <c r="G14" s="19"/>
      <c r="H14" s="19"/>
      <c r="I14" s="19"/>
      <c r="J14" s="20" t="str">
        <f aca="false">IF(OR(H14="",G14=""),"",H14-G14)</f>
        <v/>
      </c>
      <c r="K14" s="19"/>
      <c r="L14" s="19"/>
      <c r="M14" s="19"/>
      <c r="N14" s="19"/>
      <c r="O14" s="20" t="str">
        <f aca="false">IF(OR(F14="",N14=""),"",((N14-G14)/G14)*F14)</f>
        <v/>
      </c>
      <c r="P14" s="21" t="n">
        <f aca="false">IF(AND(O14="",F14=""),P13,P13+IF(O14="",0,O14))</f>
        <v>100</v>
      </c>
      <c r="Q14" s="22"/>
    </row>
    <row r="15" customFormat="false" ht="15" hidden="false" customHeight="true" outlineLevel="0" collapsed="false">
      <c r="B15" s="19"/>
      <c r="C15" s="19"/>
      <c r="D15" s="19"/>
      <c r="E15" s="19"/>
      <c r="F15" s="19"/>
      <c r="G15" s="19"/>
      <c r="H15" s="19"/>
      <c r="I15" s="19"/>
      <c r="J15" s="20" t="str">
        <f aca="false">IF(OR(H15="",G15=""),"",H15-G15)</f>
        <v/>
      </c>
      <c r="K15" s="19"/>
      <c r="L15" s="19"/>
      <c r="M15" s="19"/>
      <c r="N15" s="19"/>
      <c r="O15" s="20" t="str">
        <f aca="false">IF(OR(F15="",N15=""),"",((N15-G15)/G15)*F15)</f>
        <v/>
      </c>
      <c r="P15" s="21" t="n">
        <f aca="false">IF(AND(O15="",F15=""),P14,P14+IF(O15="",0,O15))</f>
        <v>100</v>
      </c>
      <c r="Q15" s="22"/>
    </row>
    <row r="16" customFormat="false" ht="15" hidden="false" customHeight="true" outlineLevel="0" collapsed="false">
      <c r="B16" s="19"/>
      <c r="C16" s="19"/>
      <c r="D16" s="19"/>
      <c r="E16" s="19"/>
      <c r="F16" s="19"/>
      <c r="G16" s="19"/>
      <c r="H16" s="19"/>
      <c r="I16" s="19"/>
      <c r="J16" s="20" t="str">
        <f aca="false">IF(OR(H16="",G16=""),"",H16-G16)</f>
        <v/>
      </c>
      <c r="K16" s="19"/>
      <c r="L16" s="19"/>
      <c r="M16" s="19"/>
      <c r="N16" s="19"/>
      <c r="O16" s="20" t="str">
        <f aca="false">IF(OR(F16="",N16=""),"",((N16-G16)/G16)*F16)</f>
        <v/>
      </c>
      <c r="P16" s="21" t="n">
        <f aca="false">IF(AND(O16="",F16=""),P15,P15+IF(O16="",0,O16))</f>
        <v>100</v>
      </c>
      <c r="Q16" s="22"/>
    </row>
    <row r="17" customFormat="false" ht="15" hidden="false" customHeight="true" outlineLevel="0" collapsed="false">
      <c r="B17" s="19"/>
      <c r="C17" s="19"/>
      <c r="D17" s="19"/>
      <c r="E17" s="19"/>
      <c r="F17" s="19"/>
      <c r="G17" s="19"/>
      <c r="H17" s="19"/>
      <c r="I17" s="19"/>
      <c r="J17" s="20" t="str">
        <f aca="false">IF(OR(H17="",G17=""),"",H17-G17)</f>
        <v/>
      </c>
      <c r="K17" s="19"/>
      <c r="L17" s="19"/>
      <c r="M17" s="19"/>
      <c r="N17" s="19"/>
      <c r="O17" s="20" t="str">
        <f aca="false">IF(OR(F17="",N17=""),"",((N17-G17)/G17)*F17)</f>
        <v/>
      </c>
      <c r="P17" s="21" t="n">
        <f aca="false">IF(AND(O17="",F17=""),P16,P16+IF(O17="",0,O17))</f>
        <v>100</v>
      </c>
      <c r="Q17" s="22"/>
    </row>
    <row r="18" customFormat="false" ht="15" hidden="false" customHeight="true" outlineLevel="0" collapsed="false">
      <c r="B18" s="19"/>
      <c r="C18" s="19"/>
      <c r="D18" s="19"/>
      <c r="E18" s="19"/>
      <c r="F18" s="19"/>
      <c r="G18" s="19"/>
      <c r="H18" s="19"/>
      <c r="I18" s="19"/>
      <c r="J18" s="20" t="str">
        <f aca="false">IF(OR(H18="",G18=""),"",H18-G18)</f>
        <v/>
      </c>
      <c r="K18" s="19"/>
      <c r="L18" s="19"/>
      <c r="M18" s="19"/>
      <c r="N18" s="19"/>
      <c r="O18" s="20" t="str">
        <f aca="false">IF(OR(F18="",N18=""),"",((N18-G18)/G18)*F18)</f>
        <v/>
      </c>
      <c r="P18" s="21" t="n">
        <f aca="false">IF(AND(O18="",F18=""),P17,P17+IF(O18="",0,O18))</f>
        <v>100</v>
      </c>
      <c r="Q18" s="22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20" t="str">
        <f aca="false">IF(OR(H19="",G19=""),"",H19-G19)</f>
        <v/>
      </c>
      <c r="K19" s="19"/>
      <c r="L19" s="19"/>
      <c r="M19" s="19"/>
      <c r="N19" s="19"/>
      <c r="O19" s="20" t="str">
        <f aca="false">IF(OR(F19="",N19=""),"",((N19-G19)/G19)*F19)</f>
        <v/>
      </c>
      <c r="P19" s="21" t="n">
        <f aca="false">IF(AND(O19="",F19=""),P18,P18+IF(O19="",0,O19))</f>
        <v>100</v>
      </c>
      <c r="Q19" s="22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20" t="str">
        <f aca="false">IF(OR(H20="",G20=""),"",H20-G20)</f>
        <v/>
      </c>
      <c r="K20" s="19"/>
      <c r="L20" s="19"/>
      <c r="M20" s="19"/>
      <c r="N20" s="19"/>
      <c r="O20" s="20" t="str">
        <f aca="false">IF(OR(F20="",N20=""),"",((N20-G20)/G20)*F20)</f>
        <v/>
      </c>
      <c r="P20" s="21" t="n">
        <f aca="false">IF(AND(O20="",F20=""),P19,P19+IF(O20="",0,O20))</f>
        <v>100</v>
      </c>
      <c r="Q20" s="22"/>
    </row>
    <row r="21" customFormat="false" ht="15" hidden="false" customHeight="true" outlineLevel="0" collapsed="false">
      <c r="B21" s="19"/>
      <c r="C21" s="19"/>
      <c r="D21" s="19"/>
      <c r="E21" s="19"/>
      <c r="F21" s="19"/>
      <c r="G21" s="19"/>
      <c r="H21" s="19"/>
      <c r="I21" s="19"/>
      <c r="J21" s="20" t="str">
        <f aca="false">IF(OR(H21="",G21=""),"",H21-G21)</f>
        <v/>
      </c>
      <c r="K21" s="19"/>
      <c r="L21" s="19"/>
      <c r="M21" s="19"/>
      <c r="N21" s="19"/>
      <c r="O21" s="20" t="str">
        <f aca="false">IF(OR(F21="",N21=""),"",((N21-G21)/G21)*F21)</f>
        <v/>
      </c>
      <c r="P21" s="21" t="n">
        <f aca="false">IF(AND(O21="",F21=""),P20,P20+IF(O21="",0,O21))</f>
        <v>100</v>
      </c>
      <c r="Q21" s="22"/>
    </row>
    <row r="22" customFormat="false" ht="15" hidden="false" customHeight="true" outlineLevel="0" collapsed="false">
      <c r="B22" s="19"/>
      <c r="C22" s="19"/>
      <c r="D22" s="19"/>
      <c r="E22" s="19"/>
      <c r="F22" s="19"/>
      <c r="G22" s="19"/>
      <c r="H22" s="19"/>
      <c r="I22" s="19"/>
      <c r="J22" s="20" t="str">
        <f aca="false">IF(OR(H22="",G22=""),"",H22-G22)</f>
        <v/>
      </c>
      <c r="K22" s="19"/>
      <c r="L22" s="19"/>
      <c r="M22" s="19"/>
      <c r="N22" s="19"/>
      <c r="O22" s="20" t="str">
        <f aca="false">IF(OR(F22="",N22=""),"",((N22-G22)/G22)*F22)</f>
        <v/>
      </c>
      <c r="P22" s="21" t="n">
        <f aca="false">IF(AND(O22="",F22=""),P21,P21+IF(O22="",0,O22))</f>
        <v>100</v>
      </c>
      <c r="Q22" s="22"/>
    </row>
    <row r="23" customFormat="false" ht="15" hidden="false" customHeight="true" outlineLevel="0" collapsed="false">
      <c r="B23" s="19"/>
      <c r="C23" s="19"/>
      <c r="D23" s="19"/>
      <c r="E23" s="19"/>
      <c r="F23" s="19"/>
      <c r="G23" s="19"/>
      <c r="H23" s="19"/>
      <c r="I23" s="19"/>
      <c r="J23" s="20" t="str">
        <f aca="false">IF(OR(H23="",G23=""),"",H23-G23)</f>
        <v/>
      </c>
      <c r="K23" s="19"/>
      <c r="L23" s="19"/>
      <c r="M23" s="19"/>
      <c r="N23" s="19"/>
      <c r="O23" s="20" t="str">
        <f aca="false">IF(OR(F23="",N23=""),"",((N23-G23)/G23)*F23)</f>
        <v/>
      </c>
      <c r="P23" s="21" t="n">
        <f aca="false">IF(AND(O23="",F23=""),P22,P22+IF(O23="",0,O23))</f>
        <v>100</v>
      </c>
      <c r="Q23" s="22"/>
    </row>
    <row r="24" customFormat="false" ht="15" hidden="false" customHeight="true" outlineLevel="0" collapsed="false">
      <c r="B24" s="19"/>
      <c r="C24" s="19"/>
      <c r="D24" s="19"/>
      <c r="E24" s="19"/>
      <c r="F24" s="19"/>
      <c r="G24" s="19"/>
      <c r="H24" s="19"/>
      <c r="I24" s="19"/>
      <c r="J24" s="20" t="str">
        <f aca="false">IF(OR(H24="",G24=""),"",H24-G24)</f>
        <v/>
      </c>
      <c r="K24" s="19"/>
      <c r="L24" s="19"/>
      <c r="M24" s="19"/>
      <c r="N24" s="19"/>
      <c r="O24" s="20" t="str">
        <f aca="false">IF(OR(F24="",N24=""),"",((N24-G24)/G24)*F24)</f>
        <v/>
      </c>
      <c r="P24" s="21" t="n">
        <f aca="false">IF(AND(O24="",F24=""),P23,P23+IF(O24="",0,O24))</f>
        <v>100</v>
      </c>
      <c r="Q24" s="22"/>
    </row>
    <row r="25" customFormat="false" ht="15" hidden="false" customHeight="true" outlineLevel="0" collapsed="false">
      <c r="B25" s="19"/>
      <c r="C25" s="19"/>
      <c r="D25" s="19"/>
      <c r="E25" s="19"/>
      <c r="F25" s="19"/>
      <c r="G25" s="19"/>
      <c r="H25" s="19"/>
      <c r="I25" s="19"/>
      <c r="J25" s="20" t="str">
        <f aca="false">IF(OR(H25="",G25=""),"",H25-G25)</f>
        <v/>
      </c>
      <c r="K25" s="19"/>
      <c r="L25" s="19"/>
      <c r="M25" s="19"/>
      <c r="N25" s="19"/>
      <c r="O25" s="20" t="str">
        <f aca="false">IF(OR(F25="",N25=""),"",((N25-G25)/G25)*F25)</f>
        <v/>
      </c>
      <c r="P25" s="21" t="n">
        <f aca="false">IF(AND(O25="",F25=""),P24,P24+IF(O25="",0,O25))</f>
        <v>100</v>
      </c>
      <c r="Q25" s="22"/>
    </row>
    <row r="26" customFormat="false" ht="15" hidden="false" customHeight="true" outlineLevel="0" collapsed="false">
      <c r="B26" s="19"/>
      <c r="C26" s="19"/>
      <c r="D26" s="19"/>
      <c r="E26" s="19"/>
      <c r="F26" s="19"/>
      <c r="G26" s="19"/>
      <c r="H26" s="19"/>
      <c r="I26" s="19"/>
      <c r="J26" s="20" t="str">
        <f aca="false">IF(OR(H26="",G26=""),"",H26-G26)</f>
        <v/>
      </c>
      <c r="K26" s="19"/>
      <c r="L26" s="19"/>
      <c r="M26" s="19"/>
      <c r="N26" s="19"/>
      <c r="O26" s="20" t="str">
        <f aca="false">IF(OR(F26="",N26=""),"",((N26-G26)/G26)*F26)</f>
        <v/>
      </c>
      <c r="P26" s="21" t="n">
        <f aca="false">IF(AND(O26="",F26=""),P25,P25+IF(O26="",0,O26))</f>
        <v>100</v>
      </c>
      <c r="Q26" s="22"/>
    </row>
    <row r="27" customFormat="false" ht="15" hidden="false" customHeight="true" outlineLevel="0" collapsed="false">
      <c r="B27" s="19"/>
      <c r="C27" s="19"/>
      <c r="D27" s="19"/>
      <c r="E27" s="19"/>
      <c r="F27" s="19"/>
      <c r="G27" s="19"/>
      <c r="H27" s="19"/>
      <c r="I27" s="19"/>
      <c r="J27" s="20" t="str">
        <f aca="false">IF(OR(H27="",G27=""),"",H27-G27)</f>
        <v/>
      </c>
      <c r="K27" s="19"/>
      <c r="L27" s="19"/>
      <c r="M27" s="19"/>
      <c r="N27" s="19"/>
      <c r="O27" s="20" t="str">
        <f aca="false">IF(OR(F27="",N27=""),"",((N27-G27)/G27)*F27)</f>
        <v/>
      </c>
      <c r="P27" s="21" t="n">
        <f aca="false">IF(AND(O27="",F27=""),P26,P26+IF(O27="",0,O27))</f>
        <v>100</v>
      </c>
      <c r="Q27" s="22"/>
    </row>
    <row r="28" customFormat="false" ht="15" hidden="false" customHeight="true" outlineLevel="0" collapsed="false">
      <c r="B28" s="19"/>
      <c r="C28" s="19"/>
      <c r="D28" s="19"/>
      <c r="E28" s="19"/>
      <c r="F28" s="19"/>
      <c r="G28" s="19"/>
      <c r="H28" s="19"/>
      <c r="I28" s="19"/>
      <c r="J28" s="20" t="str">
        <f aca="false">IF(OR(H28="",G28=""),"",H28-G28)</f>
        <v/>
      </c>
      <c r="K28" s="19"/>
      <c r="L28" s="19"/>
      <c r="M28" s="19"/>
      <c r="N28" s="19"/>
      <c r="O28" s="20" t="str">
        <f aca="false">IF(OR(F28="",N28=""),"",((N28-G28)/G28)*F28)</f>
        <v/>
      </c>
      <c r="P28" s="21" t="n">
        <f aca="false">IF(AND(O28="",F28=""),P27,P27+IF(O28="",0,O28))</f>
        <v>100</v>
      </c>
      <c r="Q28" s="22"/>
    </row>
    <row r="29" customFormat="false" ht="15" hidden="false" customHeight="true" outlineLevel="0" collapsed="false">
      <c r="B29" s="19"/>
      <c r="C29" s="19"/>
      <c r="D29" s="19"/>
      <c r="E29" s="19"/>
      <c r="F29" s="19"/>
      <c r="G29" s="19"/>
      <c r="H29" s="19"/>
      <c r="I29" s="19"/>
      <c r="J29" s="20" t="str">
        <f aca="false">IF(OR(H29="",G29=""),"",H29-G29)</f>
        <v/>
      </c>
      <c r="K29" s="19"/>
      <c r="L29" s="19"/>
      <c r="M29" s="19"/>
      <c r="N29" s="19"/>
      <c r="O29" s="20" t="str">
        <f aca="false">IF(OR(F29="",N29=""),"",((N29-G29)/G29)*F29)</f>
        <v/>
      </c>
      <c r="P29" s="21" t="n">
        <f aca="false">IF(AND(O29="",F29=""),P28,P28+IF(O29="",0,O29))</f>
        <v>100</v>
      </c>
      <c r="Q29" s="22"/>
    </row>
    <row r="30" customFormat="false" ht="15" hidden="false" customHeight="true" outlineLevel="0" collapsed="false">
      <c r="B30" s="19"/>
      <c r="C30" s="19"/>
      <c r="D30" s="19"/>
      <c r="E30" s="19"/>
      <c r="F30" s="19"/>
      <c r="G30" s="19"/>
      <c r="H30" s="19"/>
      <c r="I30" s="19"/>
      <c r="J30" s="20" t="str">
        <f aca="false">IF(OR(H30="",G30=""),"",H30-G30)</f>
        <v/>
      </c>
      <c r="K30" s="19"/>
      <c r="L30" s="19"/>
      <c r="M30" s="19"/>
      <c r="N30" s="19"/>
      <c r="O30" s="20" t="str">
        <f aca="false">IF(OR(F30="",N30=""),"",((N30-G30)/G30)*F30)</f>
        <v/>
      </c>
      <c r="P30" s="21" t="n">
        <f aca="false">IF(AND(O30="",F30=""),P29,P29+IF(O30="",0,O30))</f>
        <v>100</v>
      </c>
      <c r="Q30" s="22"/>
    </row>
    <row r="31" customFormat="false" ht="15" hidden="false" customHeight="true" outlineLevel="0" collapsed="false">
      <c r="B31" s="19"/>
      <c r="C31" s="19"/>
      <c r="D31" s="19"/>
      <c r="E31" s="19"/>
      <c r="F31" s="19"/>
      <c r="G31" s="19"/>
      <c r="H31" s="19"/>
      <c r="I31" s="19"/>
      <c r="J31" s="20" t="str">
        <f aca="false">IF(OR(H31="",G31=""),"",H31-G31)</f>
        <v/>
      </c>
      <c r="K31" s="19"/>
      <c r="L31" s="19"/>
      <c r="M31" s="19"/>
      <c r="N31" s="19"/>
      <c r="O31" s="20" t="str">
        <f aca="false">IF(OR(F31="",N31=""),"",((N31-G31)/G31)*F31)</f>
        <v/>
      </c>
      <c r="P31" s="21" t="n">
        <f aca="false">IF(AND(O31="",F31=""),P30,P30+IF(O31="",0,O31))</f>
        <v>100</v>
      </c>
      <c r="Q31" s="22"/>
    </row>
    <row r="32" customFormat="false" ht="15" hidden="false" customHeight="true" outlineLevel="0" collapsed="false">
      <c r="B32" s="19"/>
      <c r="C32" s="19"/>
      <c r="D32" s="19"/>
      <c r="E32" s="19"/>
      <c r="F32" s="19"/>
      <c r="G32" s="19"/>
      <c r="H32" s="19"/>
      <c r="I32" s="19"/>
      <c r="J32" s="20" t="str">
        <f aca="false">IF(OR(H32="",G32=""),"",H32-G32)</f>
        <v/>
      </c>
      <c r="K32" s="19"/>
      <c r="L32" s="19"/>
      <c r="M32" s="19"/>
      <c r="N32" s="19"/>
      <c r="O32" s="20" t="str">
        <f aca="false">IF(OR(F32="",N32=""),"",((N32-G32)/G32)*F32)</f>
        <v/>
      </c>
      <c r="P32" s="21" t="n">
        <f aca="false">IF(AND(O32="",F32=""),P31,P31+IF(O32="",0,O32))</f>
        <v>100</v>
      </c>
      <c r="Q32" s="22"/>
    </row>
    <row r="33" customFormat="false" ht="15" hidden="false" customHeight="true" outlineLevel="0" collapsed="false">
      <c r="B33" s="19"/>
      <c r="C33" s="19"/>
      <c r="D33" s="19"/>
      <c r="E33" s="19"/>
      <c r="F33" s="19"/>
      <c r="G33" s="19"/>
      <c r="H33" s="19"/>
      <c r="I33" s="19"/>
      <c r="J33" s="20" t="str">
        <f aca="false">IF(OR(H33="",G33=""),"",H33-G33)</f>
        <v/>
      </c>
      <c r="K33" s="19"/>
      <c r="L33" s="19"/>
      <c r="M33" s="19"/>
      <c r="N33" s="19"/>
      <c r="O33" s="20" t="str">
        <f aca="false">IF(OR(F33="",N33=""),"",((N33-G33)/G33)*F33)</f>
        <v/>
      </c>
      <c r="P33" s="21" t="n">
        <f aca="false">IF(AND(O33="",F33=""),P32,P32+IF(O33="",0,O33))</f>
        <v>100</v>
      </c>
      <c r="Q33" s="22"/>
    </row>
    <row r="34" customFormat="false" ht="15" hidden="false" customHeight="true" outlineLevel="0" collapsed="false">
      <c r="B34" s="19"/>
      <c r="C34" s="19"/>
      <c r="D34" s="19"/>
      <c r="E34" s="19"/>
      <c r="F34" s="19"/>
      <c r="G34" s="19"/>
      <c r="H34" s="19"/>
      <c r="I34" s="19"/>
      <c r="J34" s="20" t="str">
        <f aca="false">IF(OR(H34="",G34=""),"",H34-G34)</f>
        <v/>
      </c>
      <c r="K34" s="19"/>
      <c r="L34" s="19"/>
      <c r="M34" s="19"/>
      <c r="N34" s="19"/>
      <c r="O34" s="20" t="str">
        <f aca="false">IF(OR(F34="",N34=""),"",((N34-G34)/G34)*F34)</f>
        <v/>
      </c>
      <c r="P34" s="21" t="n">
        <f aca="false">IF(AND(O34="",F34=""),P33,P33+IF(O34="",0,O34))</f>
        <v>100</v>
      </c>
      <c r="Q34" s="22"/>
    </row>
    <row r="35" customFormat="false" ht="15" hidden="false" customHeight="true" outlineLevel="0" collapsed="false">
      <c r="B35" s="19"/>
      <c r="C35" s="19"/>
      <c r="D35" s="19"/>
      <c r="E35" s="19"/>
      <c r="F35" s="19"/>
      <c r="G35" s="19"/>
      <c r="H35" s="19"/>
      <c r="I35" s="19"/>
      <c r="J35" s="20" t="str">
        <f aca="false">IF(OR(H35="",G35=""),"",H35-G35)</f>
        <v/>
      </c>
      <c r="K35" s="19"/>
      <c r="L35" s="19"/>
      <c r="M35" s="19"/>
      <c r="N35" s="19"/>
      <c r="O35" s="20" t="str">
        <f aca="false">IF(OR(F35="",N35=""),"",((N35-G35)/G35)*F35)</f>
        <v/>
      </c>
      <c r="P35" s="21" t="n">
        <f aca="false">IF(AND(O35="",F35=""),P34,P34+IF(O35="",0,O35))</f>
        <v>100</v>
      </c>
      <c r="Q35" s="22"/>
    </row>
    <row r="36" customFormat="false" ht="15" hidden="false" customHeight="true" outlineLevel="0" collapsed="false">
      <c r="B36" s="19"/>
      <c r="C36" s="19"/>
      <c r="D36" s="19"/>
      <c r="E36" s="19"/>
      <c r="F36" s="19"/>
      <c r="G36" s="19"/>
      <c r="H36" s="19"/>
      <c r="I36" s="19"/>
      <c r="J36" s="20" t="str">
        <f aca="false">IF(OR(H36="",G36=""),"",H36-G36)</f>
        <v/>
      </c>
      <c r="K36" s="19"/>
      <c r="L36" s="19"/>
      <c r="M36" s="19"/>
      <c r="N36" s="19"/>
      <c r="O36" s="20" t="str">
        <f aca="false">IF(OR(F36="",N36=""),"",((N36-G36)/G36)*F36)</f>
        <v/>
      </c>
      <c r="P36" s="21" t="n">
        <f aca="false">IF(AND(O36="",F36=""),P35,P35+IF(O36="",0,O36))</f>
        <v>100</v>
      </c>
      <c r="Q36" s="22"/>
    </row>
    <row r="37" customFormat="false" ht="15" hidden="false" customHeight="true" outlineLevel="0" collapsed="false">
      <c r="B37" s="19"/>
      <c r="C37" s="19"/>
      <c r="D37" s="19"/>
      <c r="E37" s="19"/>
      <c r="F37" s="19"/>
      <c r="G37" s="19"/>
      <c r="H37" s="19"/>
      <c r="I37" s="19"/>
      <c r="J37" s="20" t="str">
        <f aca="false">IF(OR(H37="",G37=""),"",H37-G37)</f>
        <v/>
      </c>
      <c r="K37" s="19"/>
      <c r="L37" s="19"/>
      <c r="M37" s="19"/>
      <c r="N37" s="19"/>
      <c r="O37" s="20" t="str">
        <f aca="false">IF(OR(F37="",N37=""),"",((N37-G37)/G37)*F37)</f>
        <v/>
      </c>
      <c r="P37" s="21" t="n">
        <f aca="false">IF(AND(O37="",F37=""),P36,P36+IF(O37="",0,O37))</f>
        <v>100</v>
      </c>
      <c r="Q37" s="22"/>
    </row>
    <row r="38" customFormat="false" ht="15" hidden="false" customHeight="true" outlineLevel="0" collapsed="false">
      <c r="B38" s="19"/>
      <c r="C38" s="19"/>
      <c r="D38" s="19"/>
      <c r="E38" s="19"/>
      <c r="F38" s="19"/>
      <c r="G38" s="19"/>
      <c r="H38" s="19"/>
      <c r="I38" s="19"/>
      <c r="J38" s="20" t="str">
        <f aca="false">IF(OR(H38="",G38=""),"",H38-G38)</f>
        <v/>
      </c>
      <c r="K38" s="19"/>
      <c r="L38" s="19"/>
      <c r="M38" s="19"/>
      <c r="N38" s="19"/>
      <c r="O38" s="20" t="str">
        <f aca="false">IF(OR(F38="",N38=""),"",((N38-G38)/G38)*F38)</f>
        <v/>
      </c>
      <c r="P38" s="21" t="n">
        <f aca="false">IF(AND(O38="",F38=""),P37,P37+IF(O38="",0,O38))</f>
        <v>100</v>
      </c>
      <c r="Q38" s="22"/>
    </row>
    <row r="39" customFormat="false" ht="15" hidden="false" customHeight="true" outlineLevel="0" collapsed="false">
      <c r="B39" s="19"/>
      <c r="C39" s="19"/>
      <c r="D39" s="19"/>
      <c r="E39" s="19"/>
      <c r="F39" s="19"/>
      <c r="G39" s="19"/>
      <c r="H39" s="19"/>
      <c r="I39" s="19"/>
      <c r="J39" s="20" t="str">
        <f aca="false">IF(OR(H39="",G39=""),"",H39-G39)</f>
        <v/>
      </c>
      <c r="K39" s="19"/>
      <c r="L39" s="19"/>
      <c r="M39" s="19"/>
      <c r="N39" s="19"/>
      <c r="O39" s="20" t="str">
        <f aca="false">IF(OR(F39="",N39=""),"",((N39-G39)/G39)*F39)</f>
        <v/>
      </c>
      <c r="P39" s="21" t="n">
        <f aca="false">IF(AND(O39="",F39=""),P38,P38+IF(O39="",0,O39))</f>
        <v>100</v>
      </c>
      <c r="Q39" s="22"/>
    </row>
    <row r="40" customFormat="false" ht="15" hidden="false" customHeight="true" outlineLevel="0" collapsed="false">
      <c r="B40" s="19"/>
      <c r="C40" s="19"/>
      <c r="D40" s="19"/>
      <c r="E40" s="19"/>
      <c r="F40" s="19"/>
      <c r="G40" s="19"/>
      <c r="H40" s="19"/>
      <c r="I40" s="19"/>
      <c r="J40" s="20" t="str">
        <f aca="false">IF(OR(H40="",G40=""),"",H40-G40)</f>
        <v/>
      </c>
      <c r="K40" s="19"/>
      <c r="L40" s="19"/>
      <c r="M40" s="19"/>
      <c r="N40" s="19"/>
      <c r="O40" s="20" t="str">
        <f aca="false">IF(OR(F40="",N40=""),"",((N40-G40)/G40)*F40)</f>
        <v/>
      </c>
      <c r="P40" s="21" t="n">
        <f aca="false">IF(AND(O40="",F40=""),P39,P39+IF(O40="",0,O40))</f>
        <v>100</v>
      </c>
      <c r="Q40" s="22"/>
    </row>
    <row r="41" customFormat="false" ht="15" hidden="false" customHeight="true" outlineLevel="0" collapsed="false">
      <c r="B41" s="19"/>
      <c r="C41" s="19"/>
      <c r="D41" s="19"/>
      <c r="E41" s="19"/>
      <c r="F41" s="19"/>
      <c r="G41" s="19"/>
      <c r="H41" s="19"/>
      <c r="I41" s="19"/>
      <c r="J41" s="20" t="str">
        <f aca="false">IF(OR(H41="",G41=""),"",H41-G41)</f>
        <v/>
      </c>
      <c r="K41" s="19"/>
      <c r="L41" s="19"/>
      <c r="M41" s="19"/>
      <c r="N41" s="19"/>
      <c r="O41" s="20" t="str">
        <f aca="false">IF(OR(F41="",N41=""),"",((N41-G41)/G41)*F41)</f>
        <v/>
      </c>
      <c r="P41" s="21" t="n">
        <f aca="false">IF(AND(O41="",F41=""),P40,P40+IF(O41="",0,O41))</f>
        <v>100</v>
      </c>
      <c r="Q41" s="22"/>
    </row>
    <row r="42" customFormat="false" ht="15" hidden="false" customHeight="true" outlineLevel="0" collapsed="false">
      <c r="B42" s="19"/>
      <c r="C42" s="19"/>
      <c r="D42" s="19"/>
      <c r="E42" s="19"/>
      <c r="F42" s="19"/>
      <c r="G42" s="19"/>
      <c r="H42" s="19"/>
      <c r="I42" s="19"/>
      <c r="J42" s="20" t="str">
        <f aca="false">IF(OR(H42="",G42=""),"",H42-G42)</f>
        <v/>
      </c>
      <c r="K42" s="19"/>
      <c r="L42" s="19"/>
      <c r="M42" s="19"/>
      <c r="N42" s="19"/>
      <c r="O42" s="20" t="str">
        <f aca="false">IF(OR(F42="",N42=""),"",((N42-G42)/G42)*F42)</f>
        <v/>
      </c>
      <c r="P42" s="21" t="n">
        <f aca="false">IF(AND(O42="",F42=""),P41,P41+IF(O42="",0,O42))</f>
        <v>100</v>
      </c>
      <c r="Q42" s="22"/>
    </row>
    <row r="43" customFormat="false" ht="15" hidden="false" customHeight="true" outlineLevel="0" collapsed="false">
      <c r="B43" s="19"/>
      <c r="C43" s="19"/>
      <c r="D43" s="19"/>
      <c r="E43" s="19"/>
      <c r="F43" s="19"/>
      <c r="G43" s="19"/>
      <c r="H43" s="19"/>
      <c r="I43" s="19"/>
      <c r="J43" s="20" t="str">
        <f aca="false">IF(OR(H43="",G43=""),"",H43-G43)</f>
        <v/>
      </c>
      <c r="K43" s="19"/>
      <c r="L43" s="19"/>
      <c r="M43" s="19"/>
      <c r="N43" s="19"/>
      <c r="O43" s="20" t="str">
        <f aca="false">IF(OR(F43="",N43=""),"",((N43-G43)/G43)*F43)</f>
        <v/>
      </c>
      <c r="P43" s="21" t="n">
        <f aca="false">IF(AND(O43="",F43=""),P42,P42+IF(O43="",0,O43))</f>
        <v>100</v>
      </c>
      <c r="Q43" s="22"/>
    </row>
    <row r="44" customFormat="false" ht="15" hidden="false" customHeight="true" outlineLevel="0" collapsed="false">
      <c r="B44" s="19"/>
      <c r="C44" s="19"/>
      <c r="D44" s="19"/>
      <c r="E44" s="19"/>
      <c r="F44" s="19"/>
      <c r="G44" s="19"/>
      <c r="H44" s="19"/>
      <c r="I44" s="19"/>
      <c r="J44" s="20" t="str">
        <f aca="false">IF(OR(H44="",G44=""),"",H44-G44)</f>
        <v/>
      </c>
      <c r="K44" s="19"/>
      <c r="L44" s="19"/>
      <c r="M44" s="19"/>
      <c r="N44" s="19"/>
      <c r="O44" s="20" t="str">
        <f aca="false">IF(OR(F44="",N44=""),"",((N44-G44)/G44)*F44)</f>
        <v/>
      </c>
      <c r="P44" s="21" t="n">
        <f aca="false">IF(AND(O44="",F44=""),P43,P43+IF(O44="",0,O44))</f>
        <v>100</v>
      </c>
      <c r="Q44" s="22"/>
    </row>
    <row r="45" customFormat="false" ht="15" hidden="false" customHeight="true" outlineLevel="0" collapsed="false">
      <c r="B45" s="19"/>
      <c r="C45" s="19"/>
      <c r="D45" s="19"/>
      <c r="E45" s="19"/>
      <c r="F45" s="19"/>
      <c r="G45" s="19"/>
      <c r="H45" s="19"/>
      <c r="I45" s="19"/>
      <c r="J45" s="20" t="str">
        <f aca="false">IF(OR(H45="",G45=""),"",H45-G45)</f>
        <v/>
      </c>
      <c r="K45" s="19"/>
      <c r="L45" s="19"/>
      <c r="M45" s="19"/>
      <c r="N45" s="19"/>
      <c r="O45" s="20" t="str">
        <f aca="false">IF(OR(F45="",N45=""),"",((N45-G45)/G45)*F45)</f>
        <v/>
      </c>
      <c r="P45" s="21" t="n">
        <f aca="false">IF(AND(O45="",F45=""),P44,P44+IF(O45="",0,O45))</f>
        <v>100</v>
      </c>
      <c r="Q45" s="22"/>
    </row>
    <row r="46" customFormat="false" ht="15" hidden="false" customHeight="true" outlineLevel="0" collapsed="false">
      <c r="B46" s="19"/>
      <c r="C46" s="19"/>
      <c r="D46" s="19"/>
      <c r="E46" s="19"/>
      <c r="F46" s="19"/>
      <c r="G46" s="19"/>
      <c r="H46" s="19"/>
      <c r="I46" s="19"/>
      <c r="J46" s="20" t="str">
        <f aca="false">IF(OR(H46="",G46=""),"",H46-G46)</f>
        <v/>
      </c>
      <c r="K46" s="19"/>
      <c r="L46" s="19"/>
      <c r="M46" s="19"/>
      <c r="N46" s="19"/>
      <c r="O46" s="20" t="str">
        <f aca="false">IF(OR(F46="",N46=""),"",((N46-G46)/G46)*F46)</f>
        <v/>
      </c>
      <c r="P46" s="21" t="n">
        <f aca="false">IF(AND(O46="",F46=""),P45,P45+IF(O46="",0,O46))</f>
        <v>100</v>
      </c>
      <c r="Q46" s="22"/>
    </row>
    <row r="47" customFormat="false" ht="15" hidden="false" customHeight="true" outlineLevel="0" collapsed="false">
      <c r="B47" s="19"/>
      <c r="C47" s="19"/>
      <c r="D47" s="19"/>
      <c r="E47" s="19"/>
      <c r="F47" s="19"/>
      <c r="G47" s="19"/>
      <c r="H47" s="19"/>
      <c r="I47" s="19"/>
      <c r="J47" s="20" t="str">
        <f aca="false">IF(OR(H47="",G47=""),"",H47-G47)</f>
        <v/>
      </c>
      <c r="K47" s="19"/>
      <c r="L47" s="19"/>
      <c r="M47" s="19"/>
      <c r="N47" s="19"/>
      <c r="O47" s="20" t="str">
        <f aca="false">IF(OR(F47="",N47=""),"",((N47-G47)/G47)*F47)</f>
        <v/>
      </c>
      <c r="P47" s="21" t="n">
        <f aca="false">IF(AND(O47="",F47=""),P46,P46+IF(O47="",0,O47))</f>
        <v>100</v>
      </c>
      <c r="Q47" s="22"/>
    </row>
    <row r="48" customFormat="false" ht="15" hidden="false" customHeight="true" outlineLevel="0" collapsed="false">
      <c r="B48" s="19"/>
      <c r="C48" s="19"/>
      <c r="D48" s="19"/>
      <c r="E48" s="19"/>
      <c r="F48" s="19"/>
      <c r="G48" s="19"/>
      <c r="H48" s="19"/>
      <c r="I48" s="19"/>
      <c r="J48" s="20" t="str">
        <f aca="false">IF(OR(H48="",G48=""),"",H48-G48)</f>
        <v/>
      </c>
      <c r="K48" s="19"/>
      <c r="L48" s="19"/>
      <c r="M48" s="19"/>
      <c r="N48" s="19"/>
      <c r="O48" s="20" t="str">
        <f aca="false">IF(OR(F48="",N48=""),"",((N48-G48)/G48)*F48)</f>
        <v/>
      </c>
      <c r="P48" s="21" t="n">
        <f aca="false">IF(AND(O48="",F48=""),P47,P47+IF(O48="",0,O48))</f>
        <v>100</v>
      </c>
      <c r="Q48" s="22"/>
    </row>
    <row r="49" customFormat="false" ht="15" hidden="false" customHeight="true" outlineLevel="0" collapsed="false">
      <c r="B49" s="19"/>
      <c r="C49" s="19"/>
      <c r="D49" s="19"/>
      <c r="E49" s="19"/>
      <c r="F49" s="19"/>
      <c r="G49" s="19"/>
      <c r="H49" s="19"/>
      <c r="I49" s="19"/>
      <c r="J49" s="20" t="str">
        <f aca="false">IF(OR(H49="",G49=""),"",H49-G49)</f>
        <v/>
      </c>
      <c r="K49" s="19"/>
      <c r="L49" s="19"/>
      <c r="M49" s="19"/>
      <c r="N49" s="19"/>
      <c r="O49" s="20" t="str">
        <f aca="false">IF(OR(F49="",N49=""),"",((N49-G49)/G49)*F49)</f>
        <v/>
      </c>
      <c r="P49" s="21" t="n">
        <f aca="false">IF(AND(O49="",F49=""),P48,P48+IF(O49="",0,O49))</f>
        <v>100</v>
      </c>
      <c r="Q49" s="22"/>
    </row>
    <row r="50" customFormat="false" ht="15" hidden="false" customHeight="true" outlineLevel="0" collapsed="false">
      <c r="B50" s="19"/>
      <c r="C50" s="19"/>
      <c r="D50" s="19"/>
      <c r="E50" s="19"/>
      <c r="F50" s="19"/>
      <c r="G50" s="19"/>
      <c r="H50" s="19"/>
      <c r="I50" s="19"/>
      <c r="J50" s="20" t="str">
        <f aca="false">IF(OR(H50="",G50=""),"",H50-G50)</f>
        <v/>
      </c>
      <c r="K50" s="19"/>
      <c r="L50" s="19"/>
      <c r="M50" s="19"/>
      <c r="N50" s="19"/>
      <c r="O50" s="20" t="str">
        <f aca="false">IF(OR(F50="",N50=""),"",((N50-G50)/G50)*F50)</f>
        <v/>
      </c>
      <c r="P50" s="21" t="n">
        <f aca="false">IF(AND(O50="",F50=""),P49,P49+IF(O50="",0,O50))</f>
        <v>100</v>
      </c>
      <c r="Q50" s="22"/>
    </row>
    <row r="51" customFormat="false" ht="15" hidden="false" customHeight="true" outlineLevel="0" collapsed="false">
      <c r="B51" s="19"/>
      <c r="C51" s="19"/>
      <c r="D51" s="19"/>
      <c r="E51" s="19"/>
      <c r="F51" s="19"/>
      <c r="G51" s="19"/>
      <c r="H51" s="19"/>
      <c r="I51" s="19"/>
      <c r="J51" s="20" t="str">
        <f aca="false">IF(OR(H51="",G51=""),"",H51-G51)</f>
        <v/>
      </c>
      <c r="K51" s="19"/>
      <c r="L51" s="19"/>
      <c r="M51" s="19"/>
      <c r="N51" s="19"/>
      <c r="O51" s="20" t="str">
        <f aca="false">IF(OR(F51="",N51=""),"",((N51-G51)/G51)*F51)</f>
        <v/>
      </c>
      <c r="P51" s="21" t="n">
        <f aca="false">IF(AND(O51="",F51=""),P50,P50+IF(O51="",0,O51))</f>
        <v>100</v>
      </c>
      <c r="Q51" s="22"/>
    </row>
    <row r="52" customFormat="false" ht="15" hidden="false" customHeight="true" outlineLevel="0" collapsed="false">
      <c r="B52" s="19"/>
      <c r="C52" s="19"/>
      <c r="D52" s="19"/>
      <c r="E52" s="19"/>
      <c r="F52" s="19"/>
      <c r="G52" s="19"/>
      <c r="H52" s="19"/>
      <c r="I52" s="19"/>
      <c r="J52" s="20" t="str">
        <f aca="false">IF(OR(H52="",G52=""),"",H52-G52)</f>
        <v/>
      </c>
      <c r="K52" s="19"/>
      <c r="L52" s="19"/>
      <c r="M52" s="19"/>
      <c r="N52" s="19"/>
      <c r="O52" s="20" t="str">
        <f aca="false">IF(OR(F52="",N52=""),"",((N52-G52)/G52)*F52)</f>
        <v/>
      </c>
      <c r="P52" s="21" t="n">
        <f aca="false">IF(AND(O52="",F52=""),P51,P51+IF(O52="",0,O52))</f>
        <v>100</v>
      </c>
      <c r="Q52" s="22"/>
    </row>
    <row r="53" customFormat="false" ht="15" hidden="false" customHeight="true" outlineLevel="0" collapsed="false">
      <c r="B53" s="19"/>
      <c r="C53" s="19"/>
      <c r="D53" s="19"/>
      <c r="E53" s="19"/>
      <c r="F53" s="19"/>
      <c r="G53" s="19"/>
      <c r="H53" s="19"/>
      <c r="I53" s="19"/>
      <c r="J53" s="20" t="str">
        <f aca="false">IF(OR(H53="",G53=""),"",H53-G53)</f>
        <v/>
      </c>
      <c r="K53" s="19"/>
      <c r="L53" s="19"/>
      <c r="M53" s="19"/>
      <c r="N53" s="19"/>
      <c r="O53" s="20" t="str">
        <f aca="false">IF(OR(F53="",N53=""),"",((N53-G53)/G53)*F53)</f>
        <v/>
      </c>
      <c r="P53" s="21" t="n">
        <f aca="false">IF(AND(O53="",F53=""),P52,P52+IF(O53="",0,O53))</f>
        <v>100</v>
      </c>
      <c r="Q53" s="22"/>
    </row>
    <row r="54" customFormat="false" ht="15" hidden="false" customHeight="true" outlineLevel="0" collapsed="false">
      <c r="B54" s="19"/>
      <c r="C54" s="19"/>
      <c r="D54" s="19"/>
      <c r="E54" s="19"/>
      <c r="F54" s="19"/>
      <c r="G54" s="19"/>
      <c r="H54" s="19"/>
      <c r="I54" s="19"/>
      <c r="J54" s="20" t="str">
        <f aca="false">IF(OR(H54="",G54=""),"",H54-G54)</f>
        <v/>
      </c>
      <c r="K54" s="19"/>
      <c r="L54" s="19"/>
      <c r="M54" s="19"/>
      <c r="N54" s="19"/>
      <c r="O54" s="20" t="str">
        <f aca="false">IF(OR(F54="",N54=""),"",((N54-G54)/G54)*F54)</f>
        <v/>
      </c>
      <c r="P54" s="21" t="n">
        <f aca="false">IF(AND(O54="",F54=""),P53,P53+IF(O54="",0,O54))</f>
        <v>100</v>
      </c>
      <c r="Q54" s="22"/>
    </row>
    <row r="55" customFormat="false" ht="15" hidden="false" customHeight="true" outlineLevel="0" collapsed="false">
      <c r="B55" s="19"/>
      <c r="C55" s="19"/>
      <c r="D55" s="19"/>
      <c r="E55" s="19"/>
      <c r="F55" s="19"/>
      <c r="G55" s="19"/>
      <c r="H55" s="19"/>
      <c r="I55" s="19"/>
      <c r="J55" s="20" t="str">
        <f aca="false">IF(OR(H55="",G55=""),"",H55-G55)</f>
        <v/>
      </c>
      <c r="K55" s="19"/>
      <c r="L55" s="19"/>
      <c r="M55" s="19"/>
      <c r="N55" s="19"/>
      <c r="O55" s="20" t="str">
        <f aca="false">IF(OR(F55="",N55=""),"",((N55-G55)/G55)*F55)</f>
        <v/>
      </c>
      <c r="P55" s="21" t="n">
        <f aca="false">IF(AND(O55="",F55=""),P54,P54+IF(O55="",0,O55))</f>
        <v>100</v>
      </c>
      <c r="Q55" s="22"/>
    </row>
    <row r="56" customFormat="false" ht="15" hidden="false" customHeight="true" outlineLevel="0" collapsed="false">
      <c r="B56" s="19"/>
      <c r="C56" s="19"/>
      <c r="D56" s="19"/>
      <c r="E56" s="19"/>
      <c r="F56" s="19"/>
      <c r="G56" s="19"/>
      <c r="H56" s="19"/>
      <c r="I56" s="19"/>
      <c r="J56" s="20" t="str">
        <f aca="false">IF(OR(H56="",G56=""),"",H56-G56)</f>
        <v/>
      </c>
      <c r="K56" s="19"/>
      <c r="L56" s="19"/>
      <c r="M56" s="19"/>
      <c r="N56" s="19"/>
      <c r="O56" s="20" t="str">
        <f aca="false">IF(OR(F56="",N56=""),"",((N56-G56)/G56)*F56)</f>
        <v/>
      </c>
      <c r="P56" s="21" t="n">
        <f aca="false">IF(AND(O56="",F56=""),P55,P55+IF(O56="",0,O56))</f>
        <v>100</v>
      </c>
      <c r="Q56" s="22"/>
    </row>
    <row r="57" customFormat="false" ht="15" hidden="false" customHeight="true" outlineLevel="0" collapsed="false">
      <c r="B57" s="19"/>
      <c r="C57" s="19"/>
      <c r="D57" s="19"/>
      <c r="E57" s="19"/>
      <c r="F57" s="19"/>
      <c r="G57" s="19"/>
      <c r="H57" s="19"/>
      <c r="I57" s="19"/>
      <c r="J57" s="20" t="str">
        <f aca="false">IF(OR(H57="",G57=""),"",H57-G57)</f>
        <v/>
      </c>
      <c r="K57" s="19"/>
      <c r="L57" s="19"/>
      <c r="M57" s="19"/>
      <c r="N57" s="19"/>
      <c r="O57" s="20" t="str">
        <f aca="false">IF(OR(F57="",N57=""),"",((N57-G57)/G57)*F57)</f>
        <v/>
      </c>
      <c r="P57" s="21" t="n">
        <f aca="false">IF(AND(O57="",F57=""),P56,P56+IF(O57="",0,O57))</f>
        <v>100</v>
      </c>
      <c r="Q57" s="22"/>
    </row>
    <row r="58" customFormat="false" ht="15" hidden="false" customHeight="true" outlineLevel="0" collapsed="false">
      <c r="B58" s="19"/>
      <c r="C58" s="19"/>
      <c r="D58" s="19"/>
      <c r="E58" s="19"/>
      <c r="F58" s="19"/>
      <c r="G58" s="19"/>
      <c r="H58" s="19"/>
      <c r="I58" s="19"/>
      <c r="J58" s="20" t="str">
        <f aca="false">IF(OR(H58="",G58=""),"",H58-G58)</f>
        <v/>
      </c>
      <c r="K58" s="19"/>
      <c r="L58" s="19"/>
      <c r="M58" s="19"/>
      <c r="N58" s="19"/>
      <c r="O58" s="20" t="str">
        <f aca="false">IF(OR(F58="",N58=""),"",((N58-G58)/G58)*F58)</f>
        <v/>
      </c>
      <c r="P58" s="21" t="n">
        <f aca="false">IF(AND(O58="",F58=""),P57,P57+IF(O58="",0,O58))</f>
        <v>100</v>
      </c>
      <c r="Q58" s="22"/>
    </row>
    <row r="59" customFormat="false" ht="15" hidden="false" customHeight="true" outlineLevel="0" collapsed="false">
      <c r="B59" s="19"/>
      <c r="C59" s="19"/>
      <c r="D59" s="19"/>
      <c r="E59" s="19"/>
      <c r="F59" s="19"/>
      <c r="G59" s="19"/>
      <c r="H59" s="19"/>
      <c r="I59" s="19"/>
      <c r="J59" s="20" t="str">
        <f aca="false">IF(OR(H59="",G59=""),"",H59-G59)</f>
        <v/>
      </c>
      <c r="K59" s="19"/>
      <c r="L59" s="19"/>
      <c r="M59" s="19"/>
      <c r="N59" s="19"/>
      <c r="O59" s="20" t="str">
        <f aca="false">IF(OR(F59="",N59=""),"",((N59-G59)/G59)*F59)</f>
        <v/>
      </c>
      <c r="P59" s="21" t="n">
        <f aca="false">IF(AND(O59="",F59=""),P58,P58+IF(O59="",0,O59))</f>
        <v>100</v>
      </c>
      <c r="Q59" s="22"/>
    </row>
    <row r="60" customFormat="false" ht="15" hidden="false" customHeight="true" outlineLevel="0" collapsed="false">
      <c r="B60" s="19"/>
      <c r="C60" s="19"/>
      <c r="D60" s="19"/>
      <c r="E60" s="19"/>
      <c r="F60" s="19"/>
      <c r="G60" s="19"/>
      <c r="H60" s="19"/>
      <c r="I60" s="19"/>
      <c r="J60" s="20" t="str">
        <f aca="false">IF(OR(H60="",G60=""),"",H60-G60)</f>
        <v/>
      </c>
      <c r="K60" s="19"/>
      <c r="L60" s="19"/>
      <c r="M60" s="19"/>
      <c r="N60" s="19"/>
      <c r="O60" s="20" t="str">
        <f aca="false">IF(OR(F60="",N60=""),"",((N60-G60)/G60)*F60)</f>
        <v/>
      </c>
      <c r="P60" s="21" t="n">
        <f aca="false">IF(AND(O60="",F60=""),P59,P59+IF(O60="",0,O60))</f>
        <v>100</v>
      </c>
      <c r="Q60" s="22"/>
    </row>
    <row r="61" customFormat="false" ht="15" hidden="false" customHeight="true" outlineLevel="0" collapsed="false">
      <c r="B61" s="19"/>
      <c r="C61" s="19"/>
      <c r="D61" s="19"/>
      <c r="E61" s="19"/>
      <c r="F61" s="19"/>
      <c r="G61" s="19"/>
      <c r="H61" s="19"/>
      <c r="I61" s="19"/>
      <c r="J61" s="20" t="str">
        <f aca="false">IF(OR(H61="",G61=""),"",H61-G61)</f>
        <v/>
      </c>
      <c r="K61" s="19"/>
      <c r="L61" s="19"/>
      <c r="M61" s="19"/>
      <c r="N61" s="19"/>
      <c r="O61" s="20" t="str">
        <f aca="false">IF(OR(F61="",N61=""),"",((N61-G61)/G61)*F61)</f>
        <v/>
      </c>
      <c r="P61" s="21" t="n">
        <f aca="false">IF(AND(O61="",F61=""),P60,P60+IF(O61="",0,O61))</f>
        <v>100</v>
      </c>
      <c r="Q61" s="22"/>
    </row>
    <row r="62" customFormat="false" ht="15" hidden="false" customHeight="true" outlineLevel="0" collapsed="false">
      <c r="B62" s="19"/>
      <c r="C62" s="19"/>
      <c r="D62" s="19"/>
      <c r="E62" s="19"/>
      <c r="F62" s="19"/>
      <c r="G62" s="19"/>
      <c r="H62" s="19"/>
      <c r="I62" s="19"/>
      <c r="J62" s="20" t="str">
        <f aca="false">IF(OR(H62="",G62=""),"",H62-G62)</f>
        <v/>
      </c>
      <c r="K62" s="19"/>
      <c r="L62" s="19"/>
      <c r="M62" s="19"/>
      <c r="N62" s="19"/>
      <c r="O62" s="20" t="str">
        <f aca="false">IF(OR(F62="",N62=""),"",((N62-G62)/G62)*F62)</f>
        <v/>
      </c>
      <c r="P62" s="21" t="n">
        <f aca="false">IF(AND(O62="",F62=""),P61,P61+IF(O62="",0,O62))</f>
        <v>100</v>
      </c>
      <c r="Q62" s="22"/>
    </row>
    <row r="63" customFormat="false" ht="15" hidden="false" customHeight="true" outlineLevel="0" collapsed="false">
      <c r="B63" s="19"/>
      <c r="C63" s="19"/>
      <c r="D63" s="19"/>
      <c r="E63" s="19"/>
      <c r="F63" s="19"/>
      <c r="G63" s="19"/>
      <c r="H63" s="19"/>
      <c r="I63" s="19"/>
      <c r="J63" s="20" t="str">
        <f aca="false">IF(OR(H63="",G63=""),"",H63-G63)</f>
        <v/>
      </c>
      <c r="K63" s="19"/>
      <c r="L63" s="19"/>
      <c r="M63" s="19"/>
      <c r="N63" s="19"/>
      <c r="O63" s="20" t="str">
        <f aca="false">IF(OR(F63="",N63=""),"",((N63-G63)/G63)*F63)</f>
        <v/>
      </c>
      <c r="P63" s="21" t="n">
        <f aca="false">IF(AND(O63="",F63=""),P62,P62+IF(O63="",0,O63))</f>
        <v>100</v>
      </c>
      <c r="Q63" s="22"/>
    </row>
    <row r="64" customFormat="false" ht="15" hidden="false" customHeight="true" outlineLevel="0" collapsed="false">
      <c r="B64" s="19"/>
      <c r="C64" s="19"/>
      <c r="D64" s="19"/>
      <c r="E64" s="19"/>
      <c r="F64" s="19"/>
      <c r="G64" s="19"/>
      <c r="H64" s="19"/>
      <c r="I64" s="19"/>
      <c r="J64" s="20" t="str">
        <f aca="false">IF(OR(H64="",G64=""),"",H64-G64)</f>
        <v/>
      </c>
      <c r="K64" s="19"/>
      <c r="L64" s="19"/>
      <c r="M64" s="19"/>
      <c r="N64" s="19"/>
      <c r="O64" s="20" t="str">
        <f aca="false">IF(OR(F64="",N64=""),"",((N64-G64)/G64)*F64)</f>
        <v/>
      </c>
      <c r="P64" s="21" t="n">
        <f aca="false">IF(AND(O64="",F64=""),P63,P63+IF(O64="",0,O64))</f>
        <v>100</v>
      </c>
      <c r="Q64" s="22"/>
    </row>
    <row r="65" customFormat="false" ht="15" hidden="false" customHeight="true" outlineLevel="0" collapsed="false">
      <c r="B65" s="19"/>
      <c r="C65" s="19"/>
      <c r="D65" s="19"/>
      <c r="E65" s="19"/>
      <c r="F65" s="19"/>
      <c r="G65" s="19"/>
      <c r="H65" s="19"/>
      <c r="I65" s="19"/>
      <c r="J65" s="20" t="str">
        <f aca="false">IF(OR(H65="",G65=""),"",H65-G65)</f>
        <v/>
      </c>
      <c r="K65" s="19"/>
      <c r="L65" s="19"/>
      <c r="M65" s="19"/>
      <c r="N65" s="19"/>
      <c r="O65" s="20" t="str">
        <f aca="false">IF(OR(F65="",N65=""),"",((N65-G65)/G65)*F65)</f>
        <v/>
      </c>
      <c r="P65" s="21" t="n">
        <f aca="false">IF(AND(O65="",F65=""),P64,P64+IF(O65="",0,O65))</f>
        <v>100</v>
      </c>
      <c r="Q65" s="22"/>
    </row>
    <row r="66" customFormat="false" ht="15" hidden="false" customHeight="true" outlineLevel="0" collapsed="false">
      <c r="B66" s="19"/>
      <c r="C66" s="19"/>
      <c r="D66" s="19"/>
      <c r="E66" s="19"/>
      <c r="F66" s="19"/>
      <c r="G66" s="19"/>
      <c r="H66" s="19"/>
      <c r="I66" s="19"/>
      <c r="J66" s="20" t="str">
        <f aca="false">IF(OR(H66="",G66=""),"",H66-G66)</f>
        <v/>
      </c>
      <c r="K66" s="19"/>
      <c r="L66" s="19"/>
      <c r="M66" s="19"/>
      <c r="N66" s="19"/>
      <c r="O66" s="20" t="str">
        <f aca="false">IF(OR(F66="",N66=""),"",((N66-G66)/G66)*F66)</f>
        <v/>
      </c>
      <c r="P66" s="21" t="n">
        <f aca="false">IF(AND(O66="",F66=""),P65,P65+IF(O66="",0,O66))</f>
        <v>100</v>
      </c>
      <c r="Q66" s="22"/>
    </row>
    <row r="67" customFormat="false" ht="15" hidden="false" customHeight="true" outlineLevel="0" collapsed="false">
      <c r="B67" s="19"/>
      <c r="C67" s="19"/>
      <c r="D67" s="19"/>
      <c r="E67" s="19"/>
      <c r="F67" s="19"/>
      <c r="G67" s="19"/>
      <c r="H67" s="19"/>
      <c r="I67" s="19"/>
      <c r="J67" s="20" t="str">
        <f aca="false">IF(OR(H67="",G67=""),"",H67-G67)</f>
        <v/>
      </c>
      <c r="K67" s="19"/>
      <c r="L67" s="19"/>
      <c r="M67" s="19"/>
      <c r="N67" s="19"/>
      <c r="O67" s="20" t="str">
        <f aca="false">IF(OR(F67="",N67=""),"",((N67-G67)/G67)*F67)</f>
        <v/>
      </c>
      <c r="P67" s="21" t="n">
        <f aca="false">IF(AND(O67="",F67=""),P66,P66+IF(O67="",0,O67))</f>
        <v>100</v>
      </c>
      <c r="Q67" s="22"/>
    </row>
    <row r="68" customFormat="false" ht="15" hidden="false" customHeight="true" outlineLevel="0" collapsed="false">
      <c r="B68" s="19"/>
      <c r="C68" s="19"/>
      <c r="D68" s="19"/>
      <c r="E68" s="19"/>
      <c r="F68" s="19"/>
      <c r="G68" s="19"/>
      <c r="H68" s="19"/>
      <c r="I68" s="19"/>
      <c r="J68" s="20" t="str">
        <f aca="false">IF(OR(H68="",G68=""),"",H68-G68)</f>
        <v/>
      </c>
      <c r="K68" s="19"/>
      <c r="L68" s="19"/>
      <c r="M68" s="19"/>
      <c r="N68" s="19"/>
      <c r="O68" s="20" t="str">
        <f aca="false">IF(OR(F68="",N68=""),"",((N68-G68)/G68)*F68)</f>
        <v/>
      </c>
      <c r="P68" s="21" t="n">
        <f aca="false">IF(AND(O68="",F68=""),P67,P67+IF(O68="",0,O68))</f>
        <v>100</v>
      </c>
      <c r="Q68" s="22"/>
    </row>
    <row r="69" customFormat="false" ht="15" hidden="false" customHeight="true" outlineLevel="0" collapsed="false">
      <c r="B69" s="19"/>
      <c r="C69" s="19"/>
      <c r="D69" s="19"/>
      <c r="E69" s="19"/>
      <c r="F69" s="19"/>
      <c r="G69" s="19"/>
      <c r="H69" s="19"/>
      <c r="I69" s="19"/>
      <c r="J69" s="20" t="str">
        <f aca="false">IF(OR(H69="",G69=""),"",H69-G69)</f>
        <v/>
      </c>
      <c r="K69" s="19"/>
      <c r="L69" s="19"/>
      <c r="M69" s="19"/>
      <c r="N69" s="19"/>
      <c r="O69" s="20" t="str">
        <f aca="false">IF(OR(F69="",N69=""),"",((N69-G69)/G69)*F69)</f>
        <v/>
      </c>
      <c r="P69" s="21" t="n">
        <f aca="false">IF(AND(O69="",F69=""),P68,P68+IF(O69="",0,O69))</f>
        <v>100</v>
      </c>
      <c r="Q69" s="22"/>
    </row>
    <row r="70" customFormat="false" ht="15" hidden="false" customHeight="true" outlineLevel="0" collapsed="false">
      <c r="B70" s="19"/>
      <c r="C70" s="19"/>
      <c r="D70" s="19"/>
      <c r="E70" s="19"/>
      <c r="F70" s="19"/>
      <c r="G70" s="19"/>
      <c r="H70" s="19"/>
      <c r="I70" s="19"/>
      <c r="J70" s="20" t="str">
        <f aca="false">IF(OR(H70="",G70=""),"",H70-G70)</f>
        <v/>
      </c>
      <c r="K70" s="19"/>
      <c r="L70" s="19"/>
      <c r="M70" s="19"/>
      <c r="N70" s="19"/>
      <c r="O70" s="20" t="str">
        <f aca="false">IF(OR(F70="",N70=""),"",((N70-G70)/G70)*F70)</f>
        <v/>
      </c>
      <c r="P70" s="21" t="n">
        <f aca="false">IF(AND(O70="",F70=""),P69,P69+IF(O70="",0,O70))</f>
        <v>100</v>
      </c>
      <c r="Q70" s="22"/>
    </row>
    <row r="71" customFormat="false" ht="15" hidden="false" customHeight="true" outlineLevel="0" collapsed="false">
      <c r="B71" s="19"/>
      <c r="C71" s="19"/>
      <c r="D71" s="19"/>
      <c r="E71" s="19"/>
      <c r="F71" s="19"/>
      <c r="G71" s="19"/>
      <c r="H71" s="19"/>
      <c r="I71" s="19"/>
      <c r="J71" s="20" t="str">
        <f aca="false">IF(OR(H71="",G71=""),"",H71-G71)</f>
        <v/>
      </c>
      <c r="K71" s="19"/>
      <c r="L71" s="19"/>
      <c r="M71" s="19"/>
      <c r="N71" s="19"/>
      <c r="O71" s="20" t="str">
        <f aca="false">IF(OR(F71="",N71=""),"",((N71-G71)/G71)*F71)</f>
        <v/>
      </c>
      <c r="P71" s="21" t="n">
        <f aca="false">IF(AND(O71="",F71=""),P70,P70+IF(O71="",0,O71))</f>
        <v>100</v>
      </c>
      <c r="Q71" s="22"/>
    </row>
    <row r="72" customFormat="false" ht="15" hidden="false" customHeight="true" outlineLevel="0" collapsed="false">
      <c r="B72" s="19"/>
      <c r="C72" s="19"/>
      <c r="D72" s="19"/>
      <c r="E72" s="19"/>
      <c r="F72" s="19"/>
      <c r="G72" s="19"/>
      <c r="H72" s="19"/>
      <c r="I72" s="19"/>
      <c r="J72" s="20" t="str">
        <f aca="false">IF(OR(H72="",G72=""),"",H72-G72)</f>
        <v/>
      </c>
      <c r="K72" s="19"/>
      <c r="L72" s="19"/>
      <c r="M72" s="19"/>
      <c r="N72" s="19"/>
      <c r="O72" s="20" t="str">
        <f aca="false">IF(OR(F72="",N72=""),"",((N72-G72)/G72)*F72)</f>
        <v/>
      </c>
      <c r="P72" s="21" t="n">
        <f aca="false">IF(AND(O72="",F72=""),P71,P71+IF(O72="",0,O72))</f>
        <v>100</v>
      </c>
      <c r="Q72" s="22"/>
    </row>
    <row r="73" customFormat="false" ht="15" hidden="false" customHeight="true" outlineLevel="0" collapsed="false">
      <c r="B73" s="19"/>
      <c r="C73" s="19"/>
      <c r="D73" s="19"/>
      <c r="E73" s="19"/>
      <c r="F73" s="19"/>
      <c r="G73" s="19"/>
      <c r="H73" s="19"/>
      <c r="I73" s="19"/>
      <c r="J73" s="20" t="str">
        <f aca="false">IF(OR(H73="",G73=""),"",H73-G73)</f>
        <v/>
      </c>
      <c r="K73" s="19"/>
      <c r="L73" s="19"/>
      <c r="M73" s="19"/>
      <c r="N73" s="19"/>
      <c r="O73" s="20" t="str">
        <f aca="false">IF(OR(F73="",N73=""),"",((N73-G73)/G73)*F73)</f>
        <v/>
      </c>
      <c r="P73" s="21" t="n">
        <f aca="false">IF(AND(O73="",F73=""),P72,P72+IF(O73="",0,O73))</f>
        <v>100</v>
      </c>
      <c r="Q73" s="22"/>
    </row>
    <row r="74" customFormat="false" ht="15" hidden="false" customHeight="true" outlineLevel="0" collapsed="false">
      <c r="B74" s="19"/>
      <c r="C74" s="19"/>
      <c r="D74" s="19"/>
      <c r="E74" s="19"/>
      <c r="F74" s="19"/>
      <c r="G74" s="19"/>
      <c r="H74" s="19"/>
      <c r="I74" s="19"/>
      <c r="J74" s="20" t="str">
        <f aca="false">IF(OR(H74="",G74=""),"",H74-G74)</f>
        <v/>
      </c>
      <c r="K74" s="19"/>
      <c r="L74" s="19"/>
      <c r="M74" s="19"/>
      <c r="N74" s="19"/>
      <c r="O74" s="20" t="str">
        <f aca="false">IF(OR(F74="",N74=""),"",((N74-G74)/G74)*F74)</f>
        <v/>
      </c>
      <c r="P74" s="21" t="n">
        <f aca="false">IF(AND(O74="",F74=""),P73,P73+IF(O74="",0,O74))</f>
        <v>100</v>
      </c>
      <c r="Q74" s="22"/>
    </row>
    <row r="75" customFormat="false" ht="15" hidden="false" customHeight="true" outlineLevel="0" collapsed="false">
      <c r="B75" s="19"/>
      <c r="C75" s="19"/>
      <c r="D75" s="19"/>
      <c r="E75" s="19"/>
      <c r="F75" s="19"/>
      <c r="G75" s="19"/>
      <c r="H75" s="19"/>
      <c r="I75" s="19"/>
      <c r="J75" s="20" t="str">
        <f aca="false">IF(OR(H75="",G75=""),"",H75-G75)</f>
        <v/>
      </c>
      <c r="K75" s="19"/>
      <c r="L75" s="19"/>
      <c r="M75" s="19"/>
      <c r="N75" s="19"/>
      <c r="O75" s="20" t="str">
        <f aca="false">IF(OR(F75="",N75=""),"",((N75-G75)/G75)*F75)</f>
        <v/>
      </c>
      <c r="P75" s="21" t="n">
        <f aca="false">IF(AND(O75="",F75=""),P74,P74+IF(O75="",0,O75))</f>
        <v>100</v>
      </c>
      <c r="Q75" s="22"/>
    </row>
    <row r="76" customFormat="false" ht="15" hidden="false" customHeight="true" outlineLevel="0" collapsed="false">
      <c r="B76" s="19"/>
      <c r="C76" s="19"/>
      <c r="D76" s="19"/>
      <c r="E76" s="19"/>
      <c r="F76" s="19"/>
      <c r="G76" s="19"/>
      <c r="H76" s="19"/>
      <c r="I76" s="19"/>
      <c r="J76" s="20" t="str">
        <f aca="false">IF(OR(H76="",G76=""),"",H76-G76)</f>
        <v/>
      </c>
      <c r="K76" s="19"/>
      <c r="L76" s="19"/>
      <c r="M76" s="19"/>
      <c r="N76" s="19"/>
      <c r="O76" s="20" t="str">
        <f aca="false">IF(OR(F76="",N76=""),"",((N76-G76)/G76)*F76)</f>
        <v/>
      </c>
      <c r="P76" s="21" t="n">
        <f aca="false">IF(AND(O76="",F76=""),P75,P75+IF(O76="",0,O76))</f>
        <v>100</v>
      </c>
      <c r="Q76" s="22"/>
    </row>
    <row r="77" customFormat="false" ht="15" hidden="false" customHeight="true" outlineLevel="0" collapsed="false">
      <c r="B77" s="19"/>
      <c r="C77" s="19"/>
      <c r="D77" s="19"/>
      <c r="E77" s="19"/>
      <c r="F77" s="19"/>
      <c r="G77" s="19"/>
      <c r="H77" s="19"/>
      <c r="I77" s="19"/>
      <c r="J77" s="20" t="str">
        <f aca="false">IF(OR(H77="",G77=""),"",H77-G77)</f>
        <v/>
      </c>
      <c r="K77" s="19"/>
      <c r="L77" s="19"/>
      <c r="M77" s="19"/>
      <c r="N77" s="19"/>
      <c r="O77" s="20" t="str">
        <f aca="false">IF(OR(F77="",N77=""),"",((N77-G77)/G77)*F77)</f>
        <v/>
      </c>
      <c r="P77" s="21" t="n">
        <f aca="false">IF(AND(O77="",F77=""),P76,P76+IF(O77="",0,O77))</f>
        <v>100</v>
      </c>
      <c r="Q77" s="22"/>
    </row>
    <row r="78" customFormat="false" ht="15" hidden="false" customHeight="true" outlineLevel="0" collapsed="false">
      <c r="B78" s="19"/>
      <c r="C78" s="19"/>
      <c r="D78" s="19"/>
      <c r="E78" s="19"/>
      <c r="F78" s="19"/>
      <c r="G78" s="19"/>
      <c r="H78" s="19"/>
      <c r="I78" s="19"/>
      <c r="J78" s="20" t="str">
        <f aca="false">IF(OR(H78="",G78=""),"",H78-G78)</f>
        <v/>
      </c>
      <c r="K78" s="19"/>
      <c r="L78" s="19"/>
      <c r="M78" s="19"/>
      <c r="N78" s="19"/>
      <c r="O78" s="20" t="str">
        <f aca="false">IF(OR(F78="",N78=""),"",((N78-G78)/G78)*F78)</f>
        <v/>
      </c>
      <c r="P78" s="21" t="n">
        <f aca="false">IF(AND(O78="",F78=""),P77,P77+IF(O78="",0,O78))</f>
        <v>100</v>
      </c>
      <c r="Q78" s="22"/>
    </row>
    <row r="79" customFormat="false" ht="15" hidden="false" customHeight="true" outlineLevel="0" collapsed="false">
      <c r="B79" s="19"/>
      <c r="C79" s="19"/>
      <c r="D79" s="19"/>
      <c r="E79" s="19"/>
      <c r="F79" s="19"/>
      <c r="G79" s="19"/>
      <c r="H79" s="19"/>
      <c r="I79" s="19"/>
      <c r="J79" s="20" t="str">
        <f aca="false">IF(OR(H79="",G79=""),"",H79-G79)</f>
        <v/>
      </c>
      <c r="K79" s="19"/>
      <c r="L79" s="19"/>
      <c r="M79" s="19"/>
      <c r="N79" s="19"/>
      <c r="O79" s="20" t="str">
        <f aca="false">IF(OR(F79="",N79=""),"",((N79-G79)/G79)*F79)</f>
        <v/>
      </c>
      <c r="P79" s="21" t="n">
        <f aca="false">IF(AND(O79="",F79=""),P78,P78+IF(O79="",0,O79))</f>
        <v>100</v>
      </c>
      <c r="Q79" s="22"/>
    </row>
    <row r="80" customFormat="false" ht="15" hidden="false" customHeight="true" outlineLevel="0" collapsed="false">
      <c r="B80" s="19"/>
      <c r="C80" s="19"/>
      <c r="D80" s="19"/>
      <c r="E80" s="19"/>
      <c r="F80" s="19"/>
      <c r="G80" s="19"/>
      <c r="H80" s="19"/>
      <c r="I80" s="19"/>
      <c r="J80" s="20" t="str">
        <f aca="false">IF(OR(H80="",G80=""),"",H80-G80)</f>
        <v/>
      </c>
      <c r="K80" s="19"/>
      <c r="L80" s="19"/>
      <c r="M80" s="19"/>
      <c r="N80" s="19"/>
      <c r="O80" s="20" t="str">
        <f aca="false">IF(OR(F80="",N80=""),"",((N80-G80)/G80)*F80)</f>
        <v/>
      </c>
      <c r="P80" s="21" t="n">
        <f aca="false">IF(AND(O80="",F80=""),P79,P79+IF(O80="",0,O80))</f>
        <v>100</v>
      </c>
      <c r="Q80" s="22"/>
    </row>
    <row r="81" customFormat="false" ht="15" hidden="false" customHeight="true" outlineLevel="0" collapsed="false">
      <c r="B81" s="19"/>
      <c r="C81" s="19"/>
      <c r="D81" s="19"/>
      <c r="E81" s="19"/>
      <c r="F81" s="19"/>
      <c r="G81" s="19"/>
      <c r="H81" s="19"/>
      <c r="I81" s="19"/>
      <c r="J81" s="20" t="str">
        <f aca="false">IF(OR(H81="",G81=""),"",H81-G81)</f>
        <v/>
      </c>
      <c r="K81" s="19"/>
      <c r="L81" s="19"/>
      <c r="M81" s="19"/>
      <c r="N81" s="19"/>
      <c r="O81" s="20" t="str">
        <f aca="false">IF(OR(F81="",N81=""),"",((N81-G81)/G81)*F81)</f>
        <v/>
      </c>
      <c r="P81" s="21" t="n">
        <f aca="false">IF(AND(O81="",F81=""),P80,P80+IF(O81="",0,O81))</f>
        <v>100</v>
      </c>
      <c r="Q81" s="22"/>
    </row>
    <row r="82" customFormat="false" ht="15" hidden="false" customHeight="true" outlineLevel="0" collapsed="false">
      <c r="B82" s="19"/>
      <c r="C82" s="19"/>
      <c r="D82" s="19"/>
      <c r="E82" s="19"/>
      <c r="F82" s="19"/>
      <c r="G82" s="19"/>
      <c r="H82" s="19"/>
      <c r="I82" s="19"/>
      <c r="J82" s="20" t="str">
        <f aca="false">IF(OR(H82="",G82=""),"",H82-G82)</f>
        <v/>
      </c>
      <c r="K82" s="19"/>
      <c r="L82" s="19"/>
      <c r="M82" s="19"/>
      <c r="N82" s="19"/>
      <c r="O82" s="20" t="str">
        <f aca="false">IF(OR(F82="",N82=""),"",((N82-G82)/G82)*F82)</f>
        <v/>
      </c>
      <c r="P82" s="21" t="n">
        <f aca="false">IF(AND(O82="",F82=""),P81,P81+IF(O82="",0,O82))</f>
        <v>100</v>
      </c>
      <c r="Q82" s="22"/>
    </row>
    <row r="83" customFormat="false" ht="15" hidden="false" customHeight="true" outlineLevel="0" collapsed="false">
      <c r="B83" s="19"/>
      <c r="C83" s="19"/>
      <c r="D83" s="19"/>
      <c r="E83" s="19"/>
      <c r="F83" s="19"/>
      <c r="G83" s="19"/>
      <c r="H83" s="19"/>
      <c r="I83" s="19"/>
      <c r="J83" s="20" t="str">
        <f aca="false">IF(OR(H83="",G83=""),"",H83-G83)</f>
        <v/>
      </c>
      <c r="K83" s="19"/>
      <c r="L83" s="19"/>
      <c r="M83" s="19"/>
      <c r="N83" s="19"/>
      <c r="O83" s="20" t="str">
        <f aca="false">IF(OR(F83="",N83=""),"",((N83-G83)/G83)*F83)</f>
        <v/>
      </c>
      <c r="P83" s="21" t="n">
        <f aca="false">IF(AND(O83="",F83=""),P82,P82+IF(O83="",0,O83))</f>
        <v>100</v>
      </c>
      <c r="Q83" s="22"/>
    </row>
    <row r="84" customFormat="false" ht="15" hidden="false" customHeight="true" outlineLevel="0" collapsed="false">
      <c r="B84" s="19"/>
      <c r="C84" s="19"/>
      <c r="D84" s="19"/>
      <c r="E84" s="19"/>
      <c r="F84" s="19"/>
      <c r="G84" s="19"/>
      <c r="H84" s="19"/>
      <c r="I84" s="19"/>
      <c r="J84" s="20" t="str">
        <f aca="false">IF(OR(H84="",G84=""),"",H84-G84)</f>
        <v/>
      </c>
      <c r="K84" s="19"/>
      <c r="L84" s="19"/>
      <c r="M84" s="19"/>
      <c r="N84" s="19"/>
      <c r="O84" s="20" t="str">
        <f aca="false">IF(OR(F84="",N84=""),"",((N84-G84)/G84)*F84)</f>
        <v/>
      </c>
      <c r="P84" s="21" t="n">
        <f aca="false">IF(AND(O84="",F84=""),P83,P83+IF(O84="",0,O84))</f>
        <v>100</v>
      </c>
      <c r="Q84" s="22"/>
    </row>
    <row r="85" customFormat="false" ht="15" hidden="false" customHeight="true" outlineLevel="0" collapsed="false">
      <c r="B85" s="19"/>
      <c r="C85" s="19"/>
      <c r="D85" s="19"/>
      <c r="E85" s="19"/>
      <c r="F85" s="19"/>
      <c r="G85" s="19"/>
      <c r="H85" s="19"/>
      <c r="I85" s="19"/>
      <c r="J85" s="20" t="str">
        <f aca="false">IF(OR(H85="",G85=""),"",H85-G85)</f>
        <v/>
      </c>
      <c r="K85" s="19"/>
      <c r="L85" s="19"/>
      <c r="M85" s="19"/>
      <c r="N85" s="19"/>
      <c r="O85" s="20" t="str">
        <f aca="false">IF(OR(F85="",N85=""),"",((N85-G85)/G85)*F85)</f>
        <v/>
      </c>
      <c r="P85" s="21" t="n">
        <f aca="false">IF(AND(O85="",F85=""),P84,P84+IF(O85="",0,O85))</f>
        <v>100</v>
      </c>
      <c r="Q85" s="22"/>
    </row>
    <row r="86" customFormat="false" ht="15" hidden="false" customHeight="true" outlineLevel="0" collapsed="false">
      <c r="B86" s="19"/>
      <c r="C86" s="19"/>
      <c r="D86" s="19"/>
      <c r="E86" s="19"/>
      <c r="F86" s="19"/>
      <c r="G86" s="19"/>
      <c r="H86" s="19"/>
      <c r="I86" s="19"/>
      <c r="J86" s="20" t="str">
        <f aca="false">IF(OR(H86="",G86=""),"",H86-G86)</f>
        <v/>
      </c>
      <c r="K86" s="19"/>
      <c r="L86" s="19"/>
      <c r="M86" s="19"/>
      <c r="N86" s="19"/>
      <c r="O86" s="20" t="str">
        <f aca="false">IF(OR(F86="",N86=""),"",((N86-G86)/G86)*F86)</f>
        <v/>
      </c>
      <c r="P86" s="21" t="n">
        <f aca="false">IF(AND(O86="",F86=""),P85,P85+IF(O86="",0,O86))</f>
        <v>100</v>
      </c>
      <c r="Q86" s="22"/>
    </row>
    <row r="87" customFormat="false" ht="15" hidden="false" customHeight="true" outlineLevel="0" collapsed="false">
      <c r="B87" s="19"/>
      <c r="C87" s="19"/>
      <c r="D87" s="19"/>
      <c r="E87" s="19"/>
      <c r="F87" s="19"/>
      <c r="G87" s="19"/>
      <c r="H87" s="19"/>
      <c r="I87" s="19"/>
      <c r="J87" s="20" t="str">
        <f aca="false">IF(OR(H87="",G87=""),"",H87-G87)</f>
        <v/>
      </c>
      <c r="K87" s="19"/>
      <c r="L87" s="19"/>
      <c r="M87" s="19"/>
      <c r="N87" s="19"/>
      <c r="O87" s="20" t="str">
        <f aca="false">IF(OR(F87="",N87=""),"",((N87-G87)/G87)*F87)</f>
        <v/>
      </c>
      <c r="P87" s="21" t="n">
        <f aca="false">IF(AND(O87="",F87=""),P86,P86+IF(O87="",0,O87))</f>
        <v>100</v>
      </c>
      <c r="Q87" s="22"/>
    </row>
    <row r="88" customFormat="false" ht="15" hidden="false" customHeight="true" outlineLevel="0" collapsed="false">
      <c r="B88" s="19"/>
      <c r="C88" s="19"/>
      <c r="D88" s="19"/>
      <c r="E88" s="19"/>
      <c r="F88" s="19"/>
      <c r="G88" s="19"/>
      <c r="H88" s="19"/>
      <c r="I88" s="19"/>
      <c r="J88" s="20" t="str">
        <f aca="false">IF(OR(H88="",G88=""),"",H88-G88)</f>
        <v/>
      </c>
      <c r="K88" s="19"/>
      <c r="L88" s="19"/>
      <c r="M88" s="19"/>
      <c r="N88" s="19"/>
      <c r="O88" s="20" t="str">
        <f aca="false">IF(OR(F88="",N88=""),"",((N88-G88)/G88)*F88)</f>
        <v/>
      </c>
      <c r="P88" s="21" t="n">
        <f aca="false">IF(AND(O88="",F88=""),P87,P87+IF(O88="",0,O88))</f>
        <v>100</v>
      </c>
      <c r="Q88" s="22"/>
    </row>
    <row r="89" customFormat="false" ht="15" hidden="false" customHeight="true" outlineLevel="0" collapsed="false">
      <c r="B89" s="19"/>
      <c r="C89" s="19"/>
      <c r="D89" s="19"/>
      <c r="E89" s="19"/>
      <c r="F89" s="19"/>
      <c r="G89" s="19"/>
      <c r="H89" s="19"/>
      <c r="I89" s="19"/>
      <c r="J89" s="20" t="str">
        <f aca="false">IF(OR(H89="",G89=""),"",H89-G89)</f>
        <v/>
      </c>
      <c r="K89" s="19"/>
      <c r="L89" s="19"/>
      <c r="M89" s="19"/>
      <c r="N89" s="19"/>
      <c r="O89" s="20" t="str">
        <f aca="false">IF(OR(F89="",N89=""),"",((N89-G89)/G89)*F89)</f>
        <v/>
      </c>
      <c r="P89" s="21" t="n">
        <f aca="false">IF(AND(O89="",F89=""),P88,P88+IF(O89="",0,O89))</f>
        <v>100</v>
      </c>
      <c r="Q89" s="22"/>
    </row>
    <row r="90" customFormat="false" ht="15" hidden="false" customHeight="true" outlineLevel="0" collapsed="false">
      <c r="B90" s="19"/>
      <c r="C90" s="19"/>
      <c r="D90" s="19"/>
      <c r="E90" s="19"/>
      <c r="F90" s="19"/>
      <c r="G90" s="19"/>
      <c r="H90" s="19"/>
      <c r="I90" s="19"/>
      <c r="J90" s="20" t="str">
        <f aca="false">IF(OR(H90="",G90=""),"",H90-G90)</f>
        <v/>
      </c>
      <c r="K90" s="19"/>
      <c r="L90" s="19"/>
      <c r="M90" s="19"/>
      <c r="N90" s="19"/>
      <c r="O90" s="20" t="str">
        <f aca="false">IF(OR(F90="",N90=""),"",((N90-G90)/G90)*F90)</f>
        <v/>
      </c>
      <c r="P90" s="21" t="n">
        <f aca="false">IF(AND(O90="",F90=""),P89,P89+IF(O90="",0,O90))</f>
        <v>100</v>
      </c>
      <c r="Q90" s="22"/>
    </row>
    <row r="91" customFormat="false" ht="15" hidden="false" customHeight="true" outlineLevel="0" collapsed="false">
      <c r="B91" s="19"/>
      <c r="C91" s="19"/>
      <c r="D91" s="19"/>
      <c r="E91" s="19"/>
      <c r="F91" s="19"/>
      <c r="G91" s="19"/>
      <c r="H91" s="19"/>
      <c r="I91" s="19"/>
      <c r="J91" s="20" t="str">
        <f aca="false">IF(OR(H91="",G91=""),"",H91-G91)</f>
        <v/>
      </c>
      <c r="K91" s="19"/>
      <c r="L91" s="19"/>
      <c r="M91" s="19"/>
      <c r="N91" s="19"/>
      <c r="O91" s="20" t="str">
        <f aca="false">IF(OR(F91="",N91=""),"",((N91-G91)/G91)*F91)</f>
        <v/>
      </c>
      <c r="P91" s="21" t="n">
        <f aca="false">IF(AND(O91="",F91=""),P90,P90+IF(O91="",0,O91))</f>
        <v>100</v>
      </c>
      <c r="Q91" s="22"/>
    </row>
    <row r="92" customFormat="false" ht="15" hidden="false" customHeight="true" outlineLevel="0" collapsed="false">
      <c r="B92" s="19"/>
      <c r="C92" s="19"/>
      <c r="D92" s="19"/>
      <c r="E92" s="19"/>
      <c r="F92" s="19"/>
      <c r="G92" s="19"/>
      <c r="H92" s="19"/>
      <c r="I92" s="19"/>
      <c r="J92" s="20" t="str">
        <f aca="false">IF(OR(H92="",G92=""),"",H92-G92)</f>
        <v/>
      </c>
      <c r="K92" s="19"/>
      <c r="L92" s="19"/>
      <c r="M92" s="19"/>
      <c r="N92" s="19"/>
      <c r="O92" s="20" t="str">
        <f aca="false">IF(OR(F92="",N92=""),"",((N92-G92)/G92)*F92)</f>
        <v/>
      </c>
      <c r="P92" s="21" t="n">
        <f aca="false">IF(AND(O92="",F92=""),P91,P91+IF(O92="",0,O92))</f>
        <v>100</v>
      </c>
      <c r="Q92" s="22"/>
    </row>
    <row r="93" customFormat="false" ht="15" hidden="false" customHeight="true" outlineLevel="0" collapsed="false">
      <c r="B93" s="19"/>
      <c r="C93" s="19"/>
      <c r="D93" s="19"/>
      <c r="E93" s="19"/>
      <c r="F93" s="19"/>
      <c r="G93" s="19"/>
      <c r="H93" s="19"/>
      <c r="I93" s="19"/>
      <c r="J93" s="20" t="str">
        <f aca="false">IF(OR(H93="",G93=""),"",H93-G93)</f>
        <v/>
      </c>
      <c r="K93" s="19"/>
      <c r="L93" s="19"/>
      <c r="M93" s="19"/>
      <c r="N93" s="19"/>
      <c r="O93" s="20" t="str">
        <f aca="false">IF(OR(F93="",N93=""),"",((N93-G93)/G93)*F93)</f>
        <v/>
      </c>
      <c r="P93" s="21" t="n">
        <f aca="false">IF(AND(O93="",F93=""),P92,P92+IF(O93="",0,O93))</f>
        <v>100</v>
      </c>
      <c r="Q93" s="22"/>
    </row>
    <row r="94" customFormat="false" ht="15" hidden="false" customHeight="true" outlineLevel="0" collapsed="false">
      <c r="B94" s="19"/>
      <c r="C94" s="19"/>
      <c r="D94" s="19"/>
      <c r="E94" s="19"/>
      <c r="F94" s="19"/>
      <c r="G94" s="19"/>
      <c r="H94" s="19"/>
      <c r="I94" s="19"/>
      <c r="J94" s="20" t="str">
        <f aca="false">IF(OR(H94="",G94=""),"",H94-G94)</f>
        <v/>
      </c>
      <c r="K94" s="19"/>
      <c r="L94" s="19"/>
      <c r="M94" s="19"/>
      <c r="N94" s="19"/>
      <c r="O94" s="20" t="str">
        <f aca="false">IF(OR(F94="",N94=""),"",((N94-G94)/G94)*F94)</f>
        <v/>
      </c>
      <c r="P94" s="21" t="n">
        <f aca="false">IF(AND(O94="",F94=""),P93,P93+IF(O94="",0,O94))</f>
        <v>100</v>
      </c>
      <c r="Q94" s="22"/>
    </row>
    <row r="95" customFormat="false" ht="15" hidden="false" customHeight="true" outlineLevel="0" collapsed="false">
      <c r="B95" s="19"/>
      <c r="C95" s="19"/>
      <c r="D95" s="19"/>
      <c r="E95" s="19"/>
      <c r="F95" s="19"/>
      <c r="G95" s="19"/>
      <c r="H95" s="19"/>
      <c r="I95" s="19"/>
      <c r="J95" s="20" t="str">
        <f aca="false">IF(OR(H95="",G95=""),"",H95-G95)</f>
        <v/>
      </c>
      <c r="K95" s="19"/>
      <c r="L95" s="19"/>
      <c r="M95" s="19"/>
      <c r="N95" s="19"/>
      <c r="O95" s="20" t="str">
        <f aca="false">IF(OR(F95="",N95=""),"",((N95-G95)/G95)*F95)</f>
        <v/>
      </c>
      <c r="P95" s="21" t="n">
        <f aca="false">IF(AND(O95="",F95=""),P94,P94+IF(O95="",0,O95))</f>
        <v>100</v>
      </c>
      <c r="Q95" s="22"/>
    </row>
    <row r="96" customFormat="false" ht="15" hidden="false" customHeight="true" outlineLevel="0" collapsed="false">
      <c r="B96" s="19"/>
      <c r="C96" s="19"/>
      <c r="D96" s="19"/>
      <c r="E96" s="19"/>
      <c r="F96" s="19"/>
      <c r="G96" s="19"/>
      <c r="H96" s="19"/>
      <c r="I96" s="19"/>
      <c r="J96" s="20" t="str">
        <f aca="false">IF(OR(H96="",G96=""),"",H96-G96)</f>
        <v/>
      </c>
      <c r="K96" s="19"/>
      <c r="L96" s="19"/>
      <c r="M96" s="19"/>
      <c r="N96" s="19"/>
      <c r="O96" s="20" t="str">
        <f aca="false">IF(OR(F96="",N96=""),"",((N96-G96)/G96)*F96)</f>
        <v/>
      </c>
      <c r="P96" s="21" t="n">
        <f aca="false">IF(AND(O96="",F96=""),P95,P95+IF(O96="",0,O96))</f>
        <v>100</v>
      </c>
      <c r="Q96" s="22"/>
    </row>
    <row r="97" customFormat="false" ht="15" hidden="false" customHeight="true" outlineLevel="0" collapsed="false">
      <c r="B97" s="19"/>
      <c r="C97" s="19"/>
      <c r="D97" s="19"/>
      <c r="E97" s="19"/>
      <c r="F97" s="19"/>
      <c r="G97" s="19"/>
      <c r="H97" s="19"/>
      <c r="I97" s="19"/>
      <c r="J97" s="20" t="str">
        <f aca="false">IF(OR(H97="",G97=""),"",H97-G97)</f>
        <v/>
      </c>
      <c r="K97" s="19"/>
      <c r="L97" s="19"/>
      <c r="M97" s="19"/>
      <c r="N97" s="19"/>
      <c r="O97" s="20" t="str">
        <f aca="false">IF(OR(F97="",N97=""),"",((N97-G97)/G97)*F97)</f>
        <v/>
      </c>
      <c r="P97" s="21" t="n">
        <f aca="false">IF(AND(O97="",F97=""),P96,P96+IF(O97="",0,O97))</f>
        <v>100</v>
      </c>
      <c r="Q97" s="22"/>
    </row>
    <row r="98" customFormat="false" ht="15" hidden="false" customHeight="true" outlineLevel="0" collapsed="false">
      <c r="B98" s="19"/>
      <c r="C98" s="19"/>
      <c r="D98" s="19"/>
      <c r="E98" s="19"/>
      <c r="F98" s="19"/>
      <c r="G98" s="19"/>
      <c r="H98" s="19"/>
      <c r="I98" s="19"/>
      <c r="J98" s="20" t="str">
        <f aca="false">IF(OR(H98="",G98=""),"",H98-G98)</f>
        <v/>
      </c>
      <c r="K98" s="19"/>
      <c r="L98" s="19"/>
      <c r="M98" s="19"/>
      <c r="N98" s="19"/>
      <c r="O98" s="20" t="str">
        <f aca="false">IF(OR(F98="",N98=""),"",((N98-G98)/G98)*F98)</f>
        <v/>
      </c>
      <c r="P98" s="21" t="n">
        <f aca="false">IF(AND(O98="",F98=""),P97,P97+IF(O98="",0,O98))</f>
        <v>100</v>
      </c>
      <c r="Q98" s="22"/>
    </row>
    <row r="99" customFormat="false" ht="15" hidden="false" customHeight="true" outlineLevel="0" collapsed="false">
      <c r="B99" s="19"/>
      <c r="C99" s="19"/>
      <c r="D99" s="19"/>
      <c r="E99" s="19"/>
      <c r="F99" s="19"/>
      <c r="G99" s="19"/>
      <c r="H99" s="19"/>
      <c r="I99" s="19"/>
      <c r="J99" s="20" t="str">
        <f aca="false">IF(OR(H99="",G99=""),"",H99-G99)</f>
        <v/>
      </c>
      <c r="K99" s="19"/>
      <c r="L99" s="19"/>
      <c r="M99" s="19"/>
      <c r="N99" s="19"/>
      <c r="O99" s="20" t="str">
        <f aca="false">IF(OR(F99="",N99=""),"",((N99-G99)/G99)*F99)</f>
        <v/>
      </c>
      <c r="P99" s="21" t="n">
        <f aca="false">IF(AND(O99="",F99=""),P98,P98+IF(O99="",0,O99))</f>
        <v>100</v>
      </c>
      <c r="Q99" s="22"/>
    </row>
    <row r="100" customFormat="false" ht="15" hidden="false" customHeight="true" outlineLevel="0" collapsed="false">
      <c r="B100" s="19"/>
      <c r="C100" s="19"/>
      <c r="D100" s="19"/>
      <c r="E100" s="19"/>
      <c r="F100" s="19"/>
      <c r="G100" s="19"/>
      <c r="H100" s="19"/>
      <c r="I100" s="19"/>
      <c r="J100" s="20" t="str">
        <f aca="false">IF(OR(H100="",G100=""),"",H100-G100)</f>
        <v/>
      </c>
      <c r="K100" s="19"/>
      <c r="L100" s="19"/>
      <c r="M100" s="19"/>
      <c r="N100" s="19"/>
      <c r="O100" s="20" t="str">
        <f aca="false">IF(OR(F100="",N100=""),"",((N100-G100)/G100)*F100)</f>
        <v/>
      </c>
      <c r="P100" s="21" t="n">
        <f aca="false">IF(AND(O100="",F100=""),P99,P99+IF(O100="",0,O100))</f>
        <v>100</v>
      </c>
      <c r="Q100" s="22"/>
    </row>
    <row r="101" customFormat="false" ht="15" hidden="false" customHeight="true" outlineLevel="0" collapsed="false">
      <c r="B101" s="19"/>
      <c r="C101" s="19"/>
      <c r="D101" s="19"/>
      <c r="E101" s="19"/>
      <c r="F101" s="19"/>
      <c r="G101" s="19"/>
      <c r="H101" s="19"/>
      <c r="I101" s="19"/>
      <c r="J101" s="20" t="str">
        <f aca="false">IF(OR(H101="",G101=""),"",H101-G101)</f>
        <v/>
      </c>
      <c r="K101" s="19"/>
      <c r="L101" s="19"/>
      <c r="M101" s="19"/>
      <c r="N101" s="19"/>
      <c r="O101" s="20" t="str">
        <f aca="false">IF(OR(F101="",N101=""),"",((N101-G101)/G101)*F101)</f>
        <v/>
      </c>
      <c r="P101" s="21" t="n">
        <f aca="false">IF(AND(O101="",F101=""),P100,P100+IF(O101="",0,O101))</f>
        <v>100</v>
      </c>
      <c r="Q101" s="22"/>
    </row>
    <row r="102" customFormat="false" ht="15" hidden="false" customHeight="true" outlineLevel="0" collapsed="false">
      <c r="B102" s="19"/>
      <c r="C102" s="19"/>
      <c r="D102" s="19"/>
      <c r="E102" s="19"/>
      <c r="F102" s="19"/>
      <c r="G102" s="19"/>
      <c r="H102" s="19"/>
      <c r="I102" s="19"/>
      <c r="J102" s="20" t="str">
        <f aca="false">IF(OR(H102="",G102=""),"",H102-G102)</f>
        <v/>
      </c>
      <c r="K102" s="19"/>
      <c r="L102" s="19"/>
      <c r="M102" s="19"/>
      <c r="N102" s="19"/>
      <c r="O102" s="20" t="str">
        <f aca="false">IF(OR(F102="",N102=""),"",((N102-G102)/G102)*F102)</f>
        <v/>
      </c>
      <c r="P102" s="21" t="n">
        <f aca="false">IF(AND(O102="",F102=""),P101,P101+IF(O102="",0,O102))</f>
        <v>100</v>
      </c>
      <c r="Q102" s="22"/>
    </row>
    <row r="103" customFormat="false" ht="15" hidden="false" customHeight="true" outlineLevel="0" collapsed="false">
      <c r="B103" s="19"/>
      <c r="C103" s="19"/>
      <c r="D103" s="19"/>
      <c r="E103" s="19"/>
      <c r="F103" s="19"/>
      <c r="G103" s="19"/>
      <c r="H103" s="19"/>
      <c r="I103" s="19"/>
      <c r="J103" s="20" t="str">
        <f aca="false">IF(OR(H103="",G103=""),"",H103-G103)</f>
        <v/>
      </c>
      <c r="K103" s="19"/>
      <c r="L103" s="19"/>
      <c r="M103" s="19"/>
      <c r="N103" s="19"/>
      <c r="O103" s="20" t="str">
        <f aca="false">IF(OR(F103="",N103=""),"",((N103-G103)/G103)*F103)</f>
        <v/>
      </c>
      <c r="P103" s="21" t="n">
        <f aca="false">IF(AND(O103="",F103=""),P102,P102+IF(O103="",0,O103))</f>
        <v>100</v>
      </c>
      <c r="Q10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B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5"/>
    <col collapsed="false" customWidth="true" hidden="false" outlineLevel="0" max="7" min="7" style="1" width="35"/>
    <col collapsed="false" customWidth="true" hidden="false" outlineLevel="0" max="8" min="8" style="1" width="40"/>
  </cols>
  <sheetData>
    <row r="1" customFormat="false" ht="17.25" hidden="false" customHeight="true" outlineLevel="0" collapsed="false">
      <c r="B1" s="2" t="s">
        <v>329</v>
      </c>
    </row>
    <row r="2" customFormat="false" ht="15" hidden="false" customHeight="true" outlineLevel="0" collapsed="false">
      <c r="B2" s="3" t="s">
        <v>330</v>
      </c>
    </row>
    <row r="4" customFormat="false" ht="15" hidden="false" customHeight="true" outlineLevel="0" collapsed="false">
      <c r="B4" s="5" t="s">
        <v>331</v>
      </c>
      <c r="C4" s="5" t="s">
        <v>332</v>
      </c>
      <c r="D4" s="5" t="s">
        <v>333</v>
      </c>
      <c r="E4" s="5" t="s">
        <v>334</v>
      </c>
      <c r="F4" s="5" t="s">
        <v>335</v>
      </c>
      <c r="G4" s="5" t="s">
        <v>336</v>
      </c>
      <c r="H4" s="5" t="s">
        <v>337</v>
      </c>
    </row>
    <row r="5" customFormat="false" ht="23.25" hidden="false" customHeight="true" outlineLevel="0" collapsed="false">
      <c r="B5" s="23" t="s">
        <v>338</v>
      </c>
      <c r="C5" s="15" t="s">
        <v>339</v>
      </c>
      <c r="D5" s="15" t="s">
        <v>340</v>
      </c>
      <c r="E5" s="15" t="s">
        <v>341</v>
      </c>
      <c r="F5" s="15" t="s">
        <v>342</v>
      </c>
      <c r="G5" s="15" t="s">
        <v>343</v>
      </c>
      <c r="H5" s="15" t="s">
        <v>344</v>
      </c>
    </row>
    <row r="6" customFormat="false" ht="23.25" hidden="false" customHeight="true" outlineLevel="0" collapsed="false">
      <c r="B6" s="15" t="s">
        <v>345</v>
      </c>
      <c r="C6" s="15" t="s">
        <v>346</v>
      </c>
      <c r="D6" s="15" t="s">
        <v>347</v>
      </c>
      <c r="E6" s="15" t="s">
        <v>348</v>
      </c>
      <c r="F6" s="15" t="s">
        <v>349</v>
      </c>
      <c r="G6" s="15" t="s">
        <v>350</v>
      </c>
      <c r="H6" s="15" t="s">
        <v>351</v>
      </c>
    </row>
    <row r="7" customFormat="false" ht="23.25" hidden="false" customHeight="true" outlineLevel="0" collapsed="false">
      <c r="B7" s="15" t="s">
        <v>352</v>
      </c>
      <c r="C7" s="15" t="s">
        <v>353</v>
      </c>
      <c r="D7" s="15" t="s">
        <v>354</v>
      </c>
      <c r="E7" s="15" t="s">
        <v>355</v>
      </c>
      <c r="F7" s="15" t="s">
        <v>356</v>
      </c>
      <c r="G7" s="15" t="s">
        <v>357</v>
      </c>
      <c r="H7" s="15" t="s">
        <v>358</v>
      </c>
    </row>
    <row r="8" customFormat="false" ht="23.25" hidden="false" customHeight="true" outlineLevel="0" collapsed="false">
      <c r="B8" s="15" t="s">
        <v>359</v>
      </c>
      <c r="C8" s="15" t="s">
        <v>360</v>
      </c>
      <c r="D8" s="15" t="s">
        <v>361</v>
      </c>
      <c r="E8" s="15" t="s">
        <v>355</v>
      </c>
      <c r="F8" s="15" t="s">
        <v>362</v>
      </c>
      <c r="G8" s="15" t="s">
        <v>363</v>
      </c>
      <c r="H8" s="15" t="s">
        <v>364</v>
      </c>
    </row>
    <row r="9" customFormat="false" ht="23.25" hidden="false" customHeight="true" outlineLevel="0" collapsed="false">
      <c r="B9" s="15" t="s">
        <v>365</v>
      </c>
      <c r="C9" s="15" t="s">
        <v>366</v>
      </c>
      <c r="D9" s="15" t="s">
        <v>367</v>
      </c>
      <c r="E9" s="15" t="s">
        <v>355</v>
      </c>
      <c r="F9" s="15" t="s">
        <v>368</v>
      </c>
      <c r="G9" s="15" t="s">
        <v>369</v>
      </c>
      <c r="H9" s="15" t="s">
        <v>370</v>
      </c>
    </row>
    <row r="10" customFormat="false" ht="23.25" hidden="false" customHeight="true" outlineLevel="0" collapsed="false">
      <c r="B10" s="24" t="s">
        <v>371</v>
      </c>
      <c r="C10" s="15" t="s">
        <v>372</v>
      </c>
      <c r="D10" s="15" t="s">
        <v>373</v>
      </c>
      <c r="E10" s="15" t="s">
        <v>374</v>
      </c>
      <c r="F10" s="15" t="s">
        <v>375</v>
      </c>
      <c r="G10" s="15" t="s">
        <v>376</v>
      </c>
      <c r="H10" s="15" t="s">
        <v>377</v>
      </c>
    </row>
    <row r="13" customFormat="false" ht="15" hidden="false" customHeight="true" outlineLevel="0" collapsed="false">
      <c r="B13" s="4" t="s">
        <v>378</v>
      </c>
    </row>
    <row r="14" customFormat="false" ht="15" hidden="false" customHeight="true" outlineLevel="0" collapsed="false">
      <c r="B14" s="5" t="s">
        <v>379</v>
      </c>
      <c r="C14" s="5" t="s">
        <v>380</v>
      </c>
      <c r="D14" s="5" t="s">
        <v>381</v>
      </c>
    </row>
    <row r="15" customFormat="false" ht="15" hidden="false" customHeight="true" outlineLevel="0" collapsed="false">
      <c r="B15" s="11" t="s">
        <v>382</v>
      </c>
      <c r="C15" s="11" t="s">
        <v>383</v>
      </c>
      <c r="D15" s="11" t="s">
        <v>384</v>
      </c>
    </row>
    <row r="16" customFormat="false" ht="15" hidden="false" customHeight="true" outlineLevel="0" collapsed="false">
      <c r="B16" s="11" t="s">
        <v>385</v>
      </c>
      <c r="C16" s="11" t="s">
        <v>386</v>
      </c>
      <c r="D16" s="11" t="s">
        <v>387</v>
      </c>
    </row>
    <row r="17" customFormat="false" ht="15" hidden="false" customHeight="true" outlineLevel="0" collapsed="false">
      <c r="B17" s="11" t="s">
        <v>388</v>
      </c>
      <c r="C17" s="11" t="s">
        <v>389</v>
      </c>
      <c r="D17" s="11" t="s">
        <v>390</v>
      </c>
    </row>
    <row r="18" customFormat="false" ht="15" hidden="false" customHeight="true" outlineLevel="0" collapsed="false">
      <c r="B18" s="11" t="s">
        <v>391</v>
      </c>
      <c r="C18" s="11" t="s">
        <v>392</v>
      </c>
      <c r="D18" s="11" t="s">
        <v>393</v>
      </c>
    </row>
    <row r="19" customFormat="false" ht="15" hidden="false" customHeight="true" outlineLevel="0" collapsed="false">
      <c r="B19" s="11" t="s">
        <v>394</v>
      </c>
      <c r="C19" s="11" t="s">
        <v>395</v>
      </c>
      <c r="D19" s="11" t="s">
        <v>396</v>
      </c>
    </row>
    <row r="20" customFormat="false" ht="15" hidden="false" customHeight="true" outlineLevel="0" collapsed="false">
      <c r="B20" s="11" t="s">
        <v>397</v>
      </c>
      <c r="C20" s="11" t="s">
        <v>398</v>
      </c>
      <c r="D20" s="11" t="s">
        <v>399</v>
      </c>
    </row>
    <row r="23" customFormat="false" ht="15" hidden="false" customHeight="true" outlineLevel="0" collapsed="false">
      <c r="B23" s="4" t="s">
        <v>400</v>
      </c>
    </row>
    <row r="24" customFormat="false" ht="15" hidden="false" customHeight="true" outlineLevel="0" collapsed="false">
      <c r="B24" s="14" t="s">
        <v>401</v>
      </c>
    </row>
    <row r="25" customFormat="false" ht="15" hidden="false" customHeight="true" outlineLevel="0" collapsed="false">
      <c r="B25" s="14" t="s">
        <v>402</v>
      </c>
    </row>
    <row r="26" customFormat="false" ht="15" hidden="false" customHeight="true" outlineLevel="0" collapsed="false">
      <c r="B26" s="14" t="s">
        <v>403</v>
      </c>
    </row>
    <row r="27" customFormat="false" ht="15" hidden="false" customHeight="true" outlineLevel="0" collapsed="false">
      <c r="B27" s="14" t="s">
        <v>404</v>
      </c>
    </row>
    <row r="28" customFormat="false" ht="15" hidden="false" customHeight="true" outlineLevel="0" collapsed="false">
      <c r="B28" s="14" t="s">
        <v>405</v>
      </c>
    </row>
    <row r="29" customFormat="false" ht="15" hidden="false" customHeight="true" outlineLevel="0" collapsed="false">
      <c r="B29" s="14" t="s">
        <v>406</v>
      </c>
    </row>
    <row r="30" customFormat="false" ht="15" hidden="false" customHeight="true" outlineLevel="0" collapsed="false">
      <c r="B30" s="14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2026-03-16T04:39:21Z</dcterms:created>
  <dc:creator>openpyxl</dc:creator>
  <dc:description/>
  <dc:language>en-US</dc:language>
  <cp:lastModifiedBy/>
  <dcterms:modified xsi:type="dcterms:W3CDTF">2026-03-16T04:39:42Z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